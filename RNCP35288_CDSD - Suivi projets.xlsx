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ersons/person.xml" ContentType="application/vnd.ms-excel.perso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202300"/>
  <mc:AlternateContent xmlns:mc="http://schemas.openxmlformats.org/markup-compatibility/2006">
    <mc:Choice Requires="x15">
      <x15ac:absPath xmlns:x15ac="http://schemas.microsoft.com/office/spreadsheetml/2010/11/ac" url="https://d.docs.live.net/e7fac481abea6bd0/10 - JEDHA/05 - RNCP35288_CDSD/CDSD_jedha_portfolio/"/>
    </mc:Choice>
  </mc:AlternateContent>
  <xr:revisionPtr revIDLastSave="705" documentId="13_ncr:1_{ADC403B6-C957-4180-B4B8-C972CFCE9F58}" xr6:coauthVersionLast="47" xr6:coauthVersionMax="47" xr10:uidLastSave="{FE71ADD9-9D1C-48E1-AD12-7A2998D821EA}"/>
  <bookViews>
    <workbookView xWindow="-120" yWindow="-120" windowWidth="29040" windowHeight="15720" tabRatio="737" firstSheet="5" activeTab="10" xr2:uid="{F2C84BE9-C26B-4CBB-A961-F13BF7A5F48D}"/>
  </bookViews>
  <sheets>
    <sheet name="Projets - livrables - CDSD def" sheetId="13" r:id="rId1"/>
    <sheet name="Projets - livrables - CDSD" sheetId="2" state="hidden" r:id="rId2"/>
    <sheet name="Bloc 1 - Projet Kayak" sheetId="3" r:id="rId3"/>
    <sheet name="Bloc 2 - Projet Tinder" sheetId="4" r:id="rId4"/>
    <sheet name="Bloc 2 - Projet Steam" sheetId="5" r:id="rId5"/>
    <sheet name="Bloc 3 - Projet Conversion rate" sheetId="7" r:id="rId6"/>
    <sheet name="Bloc 3 - Projet Walmart Sales" sheetId="6" r:id="rId7"/>
    <sheet name="Bloc 3 - Projet Uber Pickups" sheetId="8" r:id="rId8"/>
    <sheet name="Bloc 3 - Projet North Face" sheetId="9" r:id="rId9"/>
    <sheet name="Bloc 4 - Projet AT&amp;T" sheetId="10" r:id="rId10"/>
    <sheet name="Bloc 5 - Projet Getaround" sheetId="11" r:id="rId11"/>
    <sheet name="Données" sheetId="12" r:id="rId12"/>
  </sheets>
  <definedNames>
    <definedName name="_xlnm._FilterDatabase" localSheetId="1" hidden="1">'Projets - livrables - CDSD'!$A$1:$E$7</definedName>
    <definedName name="_xlnm._FilterDatabase" localSheetId="0" hidden="1">'Projets - livrables - CDSD def'!$A$1:$E$7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<sst xmlns="http://schemas.openxmlformats.org/spreadsheetml/2006/main" count="542" uniqueCount="281">
  <si>
    <t>Numéro du bloc</t>
  </si>
  <si>
    <t>Nom du bloc (Français)</t>
  </si>
  <si>
    <t>Nom du bloc (Anglais)</t>
  </si>
  <si>
    <t>Durée durant l'examen de certification</t>
  </si>
  <si>
    <t>Construction et alimentation d'une infrastructure de gestion de données</t>
  </si>
  <si>
    <t>Build &amp; Manage a Data Infrastructure</t>
  </si>
  <si>
    <t>Analyse exploratoire, descriptive et inférentielle de données</t>
  </si>
  <si>
    <t>Exploratory Data Analysis</t>
  </si>
  <si>
    <t>Analyse prédictive de données structurées par l'intelligence artificielle</t>
  </si>
  <si>
    <t>Machine Learning</t>
  </si>
  <si>
    <t>Deep Learning</t>
  </si>
  <si>
    <t>Industrialisation d'un algorithme d'apprentissage automatique et automatisation des processus de décision</t>
  </si>
  <si>
    <t>Deployment</t>
  </si>
  <si>
    <t>Direction de projets de gestion de données</t>
  </si>
  <si>
    <t>Lead a Data Project</t>
  </si>
  <si>
    <t>Présenter 1 projet.
- Fullstack Data Science - Data Collection &amp; Management Project (Projet Kayak)</t>
  </si>
  <si>
    <t>10 minutes réparties comme suit :
- 5 minutes de présentation
- 5 minutes de questions-réponses</t>
  </si>
  <si>
    <t>Option 1 (Fullstack Data Science) - Déposer les livrables pour les 2 projets suivants mais n'en présenter qu'un seul (au choix) le jour de l'examen :
- 1 projet Fullstack Data Science - Exploratory Data Analysis Project (Projet Tinder)
- 1 projet Fullstack Data Science - Big Data Project (Projet Steam)
Option 2 (Fullstack Data Analysis) - Déposer les livrables pour les 3 projets suivants mais n'en présenter qu'un seul (au choix) le jour de l'examen :
- 1 projet Fullstack Data Analysis - Exploratory Data Analysis Project (Projet Tinder)
- 1 projet Fullstack Data Analysis - Snowflake
- 1 projet Fullstack Data Analysis - Netflix</t>
  </si>
  <si>
    <r>
      <t xml:space="preserve">Déposer les livrables pour les 3 projets suivants mais n'en présenter qu'un seul (au choix) le jour de l'examen.
2 projets Fullstack Data Science - Supervised Machine Learning parmi les projets suivants :
- Projet Walmart Sales
- Projet Conversion rate challenge
</t>
    </r>
    <r>
      <rPr>
        <b/>
        <sz val="11"/>
        <color theme="1"/>
        <rFont val="Aptos Narrow"/>
        <family val="2"/>
        <scheme val="minor"/>
      </rPr>
      <t>et</t>
    </r>
    <r>
      <rPr>
        <sz val="11"/>
        <color theme="1"/>
        <rFont val="Aptos Narrow"/>
        <family val="2"/>
        <scheme val="minor"/>
      </rPr>
      <t xml:space="preserve">
1 projet Fullstack Data Science - Unsupervised Machine Learning parmi les projets suivants :
- Projet Uber Pickups
- Projet The North Face ecommerce</t>
    </r>
  </si>
  <si>
    <t xml:space="preserve">Analyse prédictive de données non-structurées par l'intelligence artificielle	</t>
  </si>
  <si>
    <t>Présenter 1 projet.
- Fullstack Data Science - Deep Learning Project (Projet AT&amp;T)</t>
  </si>
  <si>
    <t>Présenter 1 projet.
- Fullstack Data Science - Deployment Project (Projet Getaround)</t>
  </si>
  <si>
    <t>20 minutes réparties comme suit :
- 10 minutes de présentation
- 10 minutes de questions-réponses</t>
  </si>
  <si>
    <t>Présenter 1 projet.
Option 1 (Essentials Data) :
- Essentials Data - Final Project
Option 2 (Fullstack Data Science) :
- Fullstack Data Science - Final Project
Option 3 (Lead Data Analysis) :
- Lead Data Analysis - Final Project
Option 5 (Fullstack Data Analysis) :
- Fullstack Data Analysis - Final Project</t>
  </si>
  <si>
    <t>Mandat métier</t>
  </si>
  <si>
    <t>Nom du mandataire :</t>
  </si>
  <si>
    <t>Domaine métier :</t>
  </si>
  <si>
    <t>Process métier :</t>
  </si>
  <si>
    <t>Date du mandat :</t>
  </si>
  <si>
    <t>Date du GO projet :</t>
  </si>
  <si>
    <t>Jedha</t>
  </si>
  <si>
    <t>Description du périmètre projet :</t>
  </si>
  <si>
    <t>Objectifs du projet :</t>
  </si>
  <si>
    <t>Planning et jalons</t>
  </si>
  <si>
    <t>Planning du projet</t>
  </si>
  <si>
    <t>XX/XX/2025</t>
  </si>
  <si>
    <t>Fullstack Data Science
Data Collection &amp; Management Project (Projet Kayak)</t>
  </si>
  <si>
    <t>L'équipe marketing a besoin d'aide pour un nouveau projet. Après avoir fait des recherches sur les utilisateurs, l'équipe a découvert que 70 % de leurs utilisateurs qui planifient un voyage souhaiteraient avoir plus d'informations sur la destination où ils vont se rendre.
En outre, la recherche des utilisateurs montre que les gens ont tendance à faire défi sur les informations qu'ils lisent s'ils ne connaissent pas la marque qui a produit le contenu.
Par conséquent, l'équipe de marketing de kayak souhaite créer une application qui recommandera où les gens planifient leurs prochaines vacances. L'application devrait être fondée sur des données réelles concernant:
- Météo
- Hôtels dans la région
L'application devrait alors être en mesure de recommander les meilleures destinations et les meilleurs hôtels sur la base des variables ci-dessus à tout moment.</t>
  </si>
  <si>
    <t>Comme le projet vient de commencer, votre équipe ne dispose pas de données qui puissent être utilisées pour créer cette application. Par conséquent, votre tâche sera de:
- Données de scraping provenant de destinations
- Obtenir des données météorologiques provenant de chaque destination
- Obtenir des informations sur les hôtels pour chaque destination
- Stocker toutes les informations ci-dessus dans un lac de données
- Extraire, transformer et charger des données nettoyées du datalake à un entrepôt de données</t>
  </si>
  <si>
    <t>Livrables :</t>
  </si>
  <si>
    <t>- Fichier csv dans un bucket S3 contenant des informations enrichies sur la météo et les hôtels pour chaque ville française
- Une base de données SQL afin d'être en mesure d'obtenir les mêmes données nettoyées à partir de S3
- Deux cartes sur lesquelles visualiser un Top-5 des destinations et un Top 20 des hôtels. Utliser Plotly ou autre pour visualiser</t>
  </si>
  <si>
    <t>Données météorologiques via API</t>
  </si>
  <si>
    <t>Données GPS via API</t>
  </si>
  <si>
    <t>Utiliser https://nominatim.org/ pour obtenir les coordonnées GPS de toutes les villes (pas d'abonnement requis) Documentation : https://nominatim.org/release-docs/delop/api/Search/</t>
  </si>
  <si>
    <t>Utilisez https://openweathermap.org/appid (vous devez vous abonner pour obtenir un apikey gratuit) et httpsopenweathermap.org/api/one-call-api pour obtenir des informations sur la météo pour les 35 villes et les mettre dans un cadre de données</t>
  </si>
  <si>
    <t>Critères de sélection</t>
  </si>
  <si>
    <t>Déterminer la liste des villes où le temps sera le plus beau dans les 7 prochains jours Par exemple, vous pouvez utiliser les valeurs de daily.pop et daily.rain pour calculer le volume de pluie attendu dans les 7 prochains jours</t>
  </si>
  <si>
    <t>Surcharger les critères avec la température ou l'humidité</t>
  </si>
  <si>
    <t>Fichier intermédiaire</t>
  </si>
  <si>
    <t>Sauvegarder tous les résultats dans un fichier csv</t>
  </si>
  <si>
    <t>- Conserver le nom des villes
- créer une colonne contenant un identifiant unique (id) de chaque ville</t>
  </si>
  <si>
    <t>Scraping Booking.com</t>
  </si>
  <si>
    <t>- Nom de l'hôtel,
- Url à sa page booking.com,
- Ses coordonnées: latitude et longitude
- Score donné par les utilisateurs du site
- Description du texte de l'hôtel</t>
  </si>
  <si>
    <t>Datalake S3</t>
  </si>
  <si>
    <t>ETL</t>
  </si>
  <si>
    <t>- Créer une base de données SQL en utilisant AWS RDS
- Extraire les données de S3
- Stockage dans la BDD</t>
  </si>
  <si>
    <t>Projets</t>
  </si>
  <si>
    <t>Fullstack Data Science
Exploratory Data Analysis Project (Projet Tinder)</t>
  </si>
  <si>
    <t>Fullstack Data Science
Big Data Project (Projet Steam)</t>
  </si>
  <si>
    <t>Fullstack Data Science
Supervised Machine Learning (Projet Walmart Sales)</t>
  </si>
  <si>
    <t>Fullstack Data Science
Supervised Machine Learning (Projet Conversion rate challenge)</t>
  </si>
  <si>
    <t>Fullstack Data Science
Supervised Machine Learning (Projet Uber Pickups)</t>
  </si>
  <si>
    <t>Fullstack Data Science
Supervised Machine Learning (Projet The North Face ecommerce)</t>
  </si>
  <si>
    <t>Fullstack Data Science
Deep Learning Project (Projet AT&amp;T)</t>
  </si>
  <si>
    <t>Fullstack Data Science
Deployment Project (Projet Getaround)</t>
  </si>
  <si>
    <t>L'équipe marketing a besoin d'aide pour un nouveau projet. Ils connaissent une diminution du nombre de matchs, et ils essaient de trouver un moyen de comprendre ce qui rend les gens intéressés les uns les autres.
Descriptif des données : 
- Recueillies auprès des participants aux événements expérimentaux de speed dating de 2004 à 2004
- Les participants ont un 1er date de quatre minutes avec tous les autres participants du sexe opposé. À la fin de leurs quatre minutes, on a demandé aux participants s'ils souhaitaient revoir leur date 
- Notation du date sur six attributs: Attractivité, Sincérité, Intelligence, Fun, Ambition, et Shared Interests.
L'ensemble de données comprend également les données du questionnaire recueillies auprès des participants à différents stades du processus. Ces domaines comprennent: 
- la démographie
- les habitudes de datation
- l'auto-perception à travers les attributs clés
- les croyances sur ce que les autres trouvent précieuse chez un partenaire
- informations sur le mode de vie</t>
  </si>
  <si>
    <r>
      <t xml:space="preserve">Utilisez l'ensemble de données pour comprendre ce qui convienne les unes des autres à prendre une deuxième date ensemble:
- Utiliser des statistiques descriptives
- Utiliser des visualisations appropriées
</t>
    </r>
    <r>
      <rPr>
        <b/>
        <sz val="11"/>
        <color theme="1"/>
        <rFont val="Arial"/>
        <family val="2"/>
      </rPr>
      <t xml:space="preserve">Exemples d'insights : 
</t>
    </r>
    <r>
      <rPr>
        <sz val="11"/>
        <color theme="1"/>
        <rFont val="Arial"/>
        <family val="2"/>
      </rPr>
      <t xml:space="preserve">
- Quels sont les attributs les moins souhaitables chez un partenaire masculin? Cela diffère-t-il pour les partenaires féminines?
- Quelle importance les gens pensent-ils que l'attrait est dans la sélection potentielle de partenaire par rapport à son impact réel?
- Les intérêts partagés sont-ils plus importants qu'une origine raciale partagée?
- Les gens peuvent-ils prédire avec précision leur propre valeur perçue sur le marché des rencontres ?
- En termes d'obtention d'un deuxième rendez-vous, est-il préférable d'être le premier rendez-vous de la nuit ou la dernière de la nuit de quelqu'un ?</t>
    </r>
  </si>
  <si>
    <t>Préparation &amp; Importation des données</t>
  </si>
  <si>
    <t>Nettoyage &amp; Structuration des données</t>
  </si>
  <si>
    <t>Analyse exploratoire des données (EDA)</t>
  </si>
  <si>
    <t>Structuration des notebooks &amp; publication</t>
  </si>
  <si>
    <t>Présentation &amp; synthèse</t>
  </si>
  <si>
    <t>- 1 ou plusieurs notebooks clairs et bien structurés
- Des visualisations interactives ou statiques dans Databricks
- Un lien public vers les notebooks publiés
- Un repo GitHub avec les liens, README, éventuelles captures</t>
  </si>
  <si>
    <t>Flatten des colonnes imbriquées (ex. genres, platforms, developer)</t>
  </si>
  <si>
    <t>explode(), getField(), withColumn()</t>
  </si>
  <si>
    <t>Gestion des champs date / string / array</t>
  </si>
  <si>
    <t>Transformation de champs de type timestamp, array, struct</t>
  </si>
  <si>
    <t>Gestion des valeurs manquantes / doublons / typage correct</t>
  </si>
  <si>
    <t>dropna(), fillna(), cast()</t>
  </si>
  <si>
    <t>Connexion à Databricks &amp; initialisation du cluster</t>
  </si>
  <si>
    <t>Choix de la configuration Spark</t>
  </si>
  <si>
    <t>Lecture du fichier JSON depuis S3 avec PySpark</t>
  </si>
  <si>
    <t>Utilisation de spark.read.json() avec multiLine=True si nécessaire</t>
  </si>
  <si>
    <t>Exploration du schéma et compréhension des champs</t>
  </si>
  <si>
    <t>Utilisation de .printSchema(), .select(), .show()</t>
  </si>
  <si>
    <t>Analyse exploratoire des données (EDA) : Macro</t>
  </si>
  <si>
    <t>Analyse exploratoire des données (EDA) : Genres</t>
  </si>
  <si>
    <t>Analyse exploratoire des données (EDA) : Plateformes</t>
  </si>
  <si>
    <t>Top éditeurs par volume de jeux
Répartition des sorties de jeux par année (focus COVID)
Jeux les mieux notés (et conditions de notation)
Distribution des prix et présence de promotions</t>
  </si>
  <si>
    <t>Genres les plus représentés
Ratio avis positifs/négatifs par genre
Genres préférés par éditeur
Genres les plus lucratifs (prix × nombre de votes ou popularité)</t>
  </si>
  <si>
    <t>Répartition Windows / Mac / Linux
Genres selon la plateforme
Popularité ou notes selon la plateforme</t>
  </si>
  <si>
    <t>Création des graphiques directement dans Databricks</t>
  </si>
  <si>
    <t>Création d’un ou plusieurs notebooks clairs (par thème si nécessaire)</t>
  </si>
  <si>
    <t>Titres, commentaires, sections</t>
  </si>
  <si>
    <t>Publication des notebooks via Databricks ("publish" et création d’URL publique)</t>
  </si>
  <si>
    <t>Vérifier accessibilité</t>
  </si>
  <si>
    <t>Upload des liens dans un repo GitHub propre (README + URL)</t>
  </si>
  <si>
    <t>README explicatif, structuration du repo</t>
  </si>
  <si>
    <t>Derniers tests / revues de cohérence</t>
  </si>
  <si>
    <t>Création d’un dashboard final ou d’un résumé des insights clés</t>
  </si>
  <si>
    <t>Slide Databricks ou markdown</t>
  </si>
  <si>
    <t>Préparation pitch de présentation</t>
  </si>
  <si>
    <t>Vous travaillez pour Ubisoft, un éditeur de jeux vidéo français. Ils aimeraient sortir un nouveau jeu vidéo révolutionnaire. Ils vous ont demandé de mener une analyse mondiale des jeux disponibles sur le marché de Steam afin de mieux comprendre l'écosystème des jeux vidéo et les tendances d'aujourd'hui.</t>
  </si>
  <si>
    <t>L'objectif ultime de ce projet est de comprendre quels facteurs affectent la popularité ou les ventes d'un jeu vidéo. Mais votre patron vous a demandé de profiter de cette opportunité pour analyser le marché du jeu vidéo à l'échelle mondiale.
Pour mener à bien ce projet, vous devrez adopter différents niveaux d'analyse. Votre patron vous a donné une liste d'exemples de questions qui seraient intéressantes (à minima) :
Analyse au niveau "macro"
Analyse des genres
Analyse des plate-formes</t>
  </si>
  <si>
    <t>Mise en place &amp; import des données</t>
  </si>
  <si>
    <t>Data quality check rapide</t>
  </si>
  <si>
    <t>Configurer l’environnement (notebook, dépendances), charger SpeedDating.csv, parcourir le data dictionary</t>
  </si>
  <si>
    <t>Repérer valeurs manquantes, doublons, types</t>
  </si>
  <si>
    <t>Tableau de bord qualité (pandas profiling ou equivalent)</t>
  </si>
  <si>
    <t xml:space="preserve">	Nettoyage &amp; feature engineering léger</t>
  </si>
  <si>
    <t>Imputer / filtrer, créer variables utiles (ex. match_mutuel)</t>
  </si>
  <si>
    <t>EDA descriptive</t>
  </si>
  <si>
    <t>Statistiques globales (moyennes, distributions)</t>
  </si>
  <si>
    <t>Analyses ciblées</t>
  </si>
  <si>
    <t>Répondre aux questions : poids de l’attractivité, rôle des intérêts communs, …</t>
  </si>
  <si>
    <t>Rédaction des interprétations</t>
  </si>
  <si>
    <t>Rédiger les captions et insights pour chaque figure/tableau</t>
  </si>
  <si>
    <t>cadrage → data prep → EDA → analyses ciblées → storytelling → QA/livraison.
- Statistiques descriptives
- Visualisations
- Légendes et interprétations sur la manière dont les statistiques et les visualisations sont pertinentes et les raisons pour lesquelles les gens acceptent un deuxième rendez-vous</t>
  </si>
  <si>
    <t>Structuration finale du notebook</t>
  </si>
  <si>
    <t>Ordonner « setup », « EDA », « analyses », conclusions</t>
  </si>
  <si>
    <t>Export &amp; livraison</t>
  </si>
  <si>
    <t xml:space="preserve">	Rétrospective rapide</t>
  </si>
  <si>
    <t>Noter axes d’amélioration, points bloquants</t>
  </si>
  <si>
    <t>Partie 1 : réaliser une AE AE et tous les prétraitements nécessaires pour préparer les données pour l'apprentissage automatique
Partie 2 : former un modèle de régression linéaire (niveau de référence)
Partie 3 : éviter le surdimensionnement en formant un modèle de régression régularisé</t>
  </si>
  <si>
    <t>- Créer des visualisations
- Former au moins un modèle de régression linéaire sur l'ensemble de données, qui prédit la quantité de ventes hebdomadaires en fonction des autres variables
- Évaluer les performances du modèle en utilisant une métrique qui est pertinente pour les problèmes de régression
- Interpréter les coefficients du modèle pour identifier quelles caractéristiques sont importantes pour la prédiction
- Former au moins un modèle à régularisation (Lasso ou Ridge) pour réduire le suréquipement</t>
  </si>
  <si>
    <t>Le service de marketing de Walmart vous a demandé de construire un modèle d'apprentissage automatique capable d'estimer les ventes hebdomadaires dans leurs magasins, avec la meilleure précision possible sur les prédictions faites. Un tel modèle les aiderait à mieux comprendre comment les ventes sont influencées par des indicateurs économiques et pourrait être utilisé pour planifier de futures campagnes de commercialisation.*
Travaux à réaliser :
EDA → régression linéaire → régression régularisée, avec visualisations, interprétation des coefficients et évaluation des performances</t>
  </si>
  <si>
    <t>Pré-cadrage</t>
  </si>
  <si>
    <t>EDA &amp; preprocessing</t>
  </si>
  <si>
    <t>Notebook EDA propre + pipeline sklearn prêt</t>
  </si>
  <si>
    <t>Modèle baseline (régression linéaire)</t>
  </si>
  <si>
    <t>- Entraîner LinearRegression
- Calcul métriques (RMSE, R²) sur train &amp; test
- Extraire coef_ pour interpréter les variables clés</t>
  </si>
  <si>
    <t>Notebook « Baseline » + tableau de métriques</t>
  </si>
  <si>
    <t>Notebook « Ridge/Lasso » + grille des scores</t>
  </si>
  <si>
    <t>Réduction de l’overfitting</t>
  </si>
  <si>
    <t>Validation &amp; interprétation finale</t>
  </si>
  <si>
    <t>- Synthèse des résultats
- Discussion des variables déterminantes
- Vérification des hypothèses business</t>
  </si>
  <si>
    <t>Packaging &amp; restitution</t>
  </si>
  <si>
    <t>- Nettoyer notebooks
- Préparer slides ou README (objectifs, méthode, résultats)
- Dépôt Git final / PDF</t>
  </si>
  <si>
    <t>Les spécialistes des données qui ont créé le bulletin souhaitent mieux comprendre le comportement des utilisateurs qui visitent leur site web. Ils aimeraient savoir s'il est possible de construire un modèle qui prédit si un utilisateur donné s'abonne à la lettre d'information, en n'utilisant que quelques informations sur l'utilisateur. Ils aimeraient analyser les paramètres du modèle pour mettre en évidence les caractéristiques qui sont importantes pour expliquer le comportement des utilisateurs, et peut-être découvrir un nouveau levier d'action pour améliorer le taux de conversion de la lettre d'information.
Ils ont conçu un concours visant à construire un modèle qui permet de prédire les conversions (c'est-à-dire lorsqu'un utilisateur s'abonne à la lettre d'information). Pour ce faire, ils ont ouvert un ensemble de données contenant des données sur le trafic sur leur site web. Pour évaluer le classement des différentes équipes concurrentes, ils ont décidé d'utiliser le score f1.</t>
  </si>
  <si>
    <t>Partie 1 : faire une EDA, effectuer les prétraitements et former un modèle de base avec le fichier data.train.csv
Partie 2 : améliorer le score f1 de votre modèle sur votre banc d'essai (vous pouvez essayer l'ingénierie des fonctionnalités, la sélection des fonctionnalités, la régularisation, les modèles non linéaires, l'optimisation de l'hyperparamètre par recherche de grille, etc.)
Partie 3: Une fois que vous êtes satisfait du score de votre modèle, vous pouvez l'utiliser pour faire quelques prédictions avec le fichier data.test.csv. Vous devrez déverser les prédictions dans un fichier .csv qui sera envoyé à Kaggle (en fait, à votre professeur/TA). Vous pouvez faire autant de soumissions que vous le souhaitez, n'hésitez pas à essayer différents modèles
Partie 4 : Prenez le temps d'analyser les paramètres de votre meilleur modèle. Existe-t-il un levier d'action qui contribuerait à améliorer le taux de conversion du bulletin? Quelles recommandations apporteriez-vous à l'équipe ?</t>
  </si>
  <si>
    <t xml:space="preserve">
- Analyser quelques insights pertinents via l'EDA
- Entraîner au moins un modèle qui prédit les conversions et évaluer ses performances (f1, matrices de confusion)
- Faire au moins une demande soumlission au classement Kaggle
- Analysez les paramètres de votre meilleur modèle et essayez de faire quelques recommandations pour améliorer le taux de conversion à l'avenir</t>
  </si>
  <si>
    <t>EDA &amp; baseline</t>
  </si>
  <si>
    <t>Amélioration du modèle</t>
  </si>
  <si>
    <t>Tableau comparatif des modèles, meilleur pipeline enregistré</t>
  </si>
  <si>
    <t>Prédictions &amp; leaderboard</t>
  </si>
  <si>
    <t>- Ré-entraîner le meilleur modèle sur tout data_train.csv
- Inférence sur data_test.csv
- Export .csv conforme (id, prediction)
- Soumission au leaderboard / TA (possibles itérations)
- Analyse des retours de classement</t>
  </si>
  <si>
    <t>Interprétation &amp; recommandations</t>
  </si>
  <si>
    <t>- Interprétation globale : importance des variables (SHAP, permutation)
- Analyse d’erreurs / profils d’utilisateurs
- Identification de leviers pour améliorer le taux de conversion (UX, ciblage, contenu)
- Rédaction d’un rapport synthèse + slides</t>
  </si>
  <si>
    <t>Rapport final (PDF/Slides), recommandations actionnables, code propre dans le dépôt</t>
  </si>
  <si>
    <t>L'un des principaux points problématiques auxquels sont confrontés les utilisateurs d'AT et T est l'exposition constante aux messages SPAM.
AT et T a été en mesure d'afficher manuellement les messages de spam pendant un certain temps, mais ils cherchent un moyen automatisé de détecter les spams pour protéger leurs utilisateurs.</t>
  </si>
  <si>
    <t>Construire un détecteur de spam, qui peut automatiquement signaler les spams au fur et à mesure qu'ils sont basés uniquement sur le contenu des sms</t>
  </si>
  <si>
    <t xml:space="preserve">
- Notebook en prétraitement et forme un ou plusieurs modèles d'apprentissage profond afin de prédire le caractère spam ou jambon des sms
- Indiquer clairement les résultats obtenus</t>
  </si>
  <si>
    <t>Cadrage &amp; exploration</t>
  </si>
  <si>
    <t>- Relire la description du projet et des livrables demandés (notebook + métriques) 
- Identifier les métriques qui comptent pour le projet (accuracy, F1-score, recall « spam »)</t>
  </si>
  <si>
    <t>Cahier des charges synthétique (1 page)</t>
  </si>
  <si>
    <t>Préparer la donnée</t>
  </si>
  <si>
    <t>- Nettoyer : encodage, ponctuation, minuscules, stop-words
- Split train/val/test stratifié</t>
  </si>
  <si>
    <t>Jeu de données prêt à l’emploi</t>
  </si>
  <si>
    <t>Exploratory Data Analysis (EDA)</t>
  </si>
  <si>
    <t>- Statistiques globales (longueur SMS, proportion spam/ham)
- Nuages de mots ou TF-IDF top n par classe (Term Frequency – Inverse Document Frequency)</t>
  </si>
  <si>
    <t>Notebook EDA</t>
  </si>
  <si>
    <t>Modèle de base</t>
  </si>
  <si>
    <t>- Simple : logistic regression + TF-IDF
- Établir un score de référence</t>
  </si>
  <si>
    <t>Pipeline de prétraitement</t>
  </si>
  <si>
    <t>- Encapsuler nettoyage + vectorisation dans sklearn.Pipeline
- Ajout d’un grid-search simple (n-grammes, C)</t>
  </si>
  <si>
    <t>Documentation</t>
  </si>
  <si>
    <t>Transfer learning</t>
  </si>
  <si>
    <t>Tester : DistilBERT ou bert-base-uncased fine-tuning (faible data)</t>
  </si>
  <si>
    <t>Optimisation</t>
  </si>
  <si>
    <t>Early stopping, scheduler, gestion classe déséquilibrée (focal loss ou pondération)</t>
  </si>
  <si>
    <t>Notebook – Modèles DL &amp; résultats</t>
  </si>
  <si>
    <t xml:space="preserve">Suivi </t>
  </si>
  <si>
    <t>Tableau de suivi</t>
  </si>
  <si>
    <t>Évaluation &amp; sélection</t>
  </si>
  <si>
    <t>- Comparer modèles sur le test set (accuracy, precision, recall spam, F1)
- Choisir le meilleur compromis (priorité : rappeler le spam)</t>
  </si>
  <si>
    <t>Documentation finale</t>
  </si>
  <si>
    <t>- Résumer architecture, hyper-paramètres, performances atteintes (tableau)
- Guide utilisateur</t>
  </si>
  <si>
    <t>Présentation</t>
  </si>
  <si>
    <t>Préparer 5-10 slides pour la revue (contexte, approche, résultats, limites, next steps)</t>
  </si>
  <si>
    <t>Lorsqu'ils utilisent Getaround, les conducteurs réservent des voitures pour une période de temps spécifique, d'une heure à quelques jours. Ils sont censés ramener la voiture à l'heure, mais il arrive de temps en temps que les conducteurs soient en retard à la caisse.
Les retours tardifs à la caisse peuvent générer des frictions élevées pour le conducteur suivant si la voiture était censée être louée à nouveau le même jour : le service à la clientèle signale souvent aux utilisateurs insatisfaits parce qu'ils ont dû attendre que la voiture revienne de la précédente location ou des utilisateurs qui ont même dû annuler leur location parce que la voiture n'a pas été restituée à temps.</t>
  </si>
  <si>
    <t>- Un tableau de bord en production (accessible via une page web par exemple)
- Le code entier stocké dans un référentiel Github. Vous incluez l'URL du dépôt
- Une API en ligne documentée sur le serveur Hugging Face (ou tout autre fournisseur que vous choisissez) contenant au moins un /predict - End point qui respecte la description technique du projet</t>
  </si>
  <si>
    <t>Kick-off &amp; set-up</t>
  </si>
  <si>
    <t>- Clarifier les attentes avec TA
- Créer repo GitHub, branches dev / main
- Initialiser environnement (conda/poetry) et CI (GitHub Actions)</t>
  </si>
  <si>
    <t>Repo créé + README squelette</t>
  </si>
  <si>
    <t xml:space="preserve">	Compréhension des données</t>
  </si>
  <si>
    <t>- Télécharger les deux jeux de données « Delay Analysis » et « Pricing Optimization »
- Inspection schéma, types, valeurs aberrantes
- Schéma ER + dictionnaire de variables</t>
  </si>
  <si>
    <t>EDA</t>
  </si>
  <si>
    <t>• Mesurer fréquences des retards, corréler avec type de flow (Mobile RA / Connect).
• Simuler différents « minimum delay » (15-, 30-, 60-min) et estimer impact revenu &amp; volume de loc.
• Sauvegarder scripts d’agrégation réutilisables pour le dashboard.</t>
  </si>
  <si>
    <t>Rapport EDA + figures</t>
  </si>
  <si>
    <t>Conception du dashboard</t>
  </si>
  <si>
    <t>Première version live (local)</t>
  </si>
  <si>
    <t>Modélisation prix optimum (ML)</t>
  </si>
  <si>
    <t>- Wireframe Streamlit (ou Dash) : 2 volets « Business impact » &amp; « Retards ».
- Brancher sur fonctions d’agrégation calculées
- Ajout filtres interactifs (seuil, scope Connect/All).</t>
  </si>
  <si>
    <t xml:space="preserve">	API FastAPI &amp; endpoint /predict</t>
  </si>
  <si>
    <t>- Scaffold FastAPI : endpoints /predict &amp; /health.
- Charger model.pkl, définir schema Pydantic reflétant l’exemple JSON fourni projet.
- Tests unitaires + exemples curl &amp; Python.</t>
  </si>
  <si>
    <t>API fonctionnelle localement</t>
  </si>
  <si>
    <t>- Page Markdown → convertie en HTML sous FastAPI /docs : titre H1, description endpoints, exemples I/O.
- Ajouter liens vers dashboard &amp; repo.</t>
  </si>
  <si>
    <t xml:space="preserve">	Déploiement en production</t>
  </si>
  <si>
    <t>- Push dashboard vers Streamlit Cloud / HF Spaces (gradio).
- Containeriser API (Docker) puis déployer sur Hugging Face Spaces (ou Render/Vercel).
- Configurer variables env et CORS.</t>
  </si>
  <si>
    <t>URL publiques opérationnelles</t>
  </si>
  <si>
    <t>Recette &amp; remise</t>
  </si>
  <si>
    <t>- Tests bout-à-bout (dashboard ↔ API)
- Relecture README : setup local + liens prod
- Rétrospective d’équipe + correctifs</t>
  </si>
  <si>
    <t>Cadrage &amp; Pré-setup</t>
  </si>
  <si>
    <t>- Kick-off, clarification périmètre et KPI
- Création repo Git &amp; venv Python
- Installation libs (pandas, scikit-learn, plotly, folium)</t>
  </si>
  <si>
    <t>Brief affiné + board de suivi
Repo vide prêt à coder</t>
  </si>
  <si>
    <t>Préparation des données</t>
  </si>
  <si>
    <t>- Ingestion Uber Trip Data
- Nettoyage coord./NA
- Stockage Parquet/SQL</t>
  </si>
  <si>
    <t>Dataset nettoyé &amp; versionné</t>
  </si>
  <si>
    <t>Exploration &amp; Prototypage</t>
  </si>
  <si>
    <t>- EDA (pics horaires, densités)
- Sélection d’un jour-test &amp; features
- Mini-pipeline « one-shot »</t>
  </si>
  <si>
    <t>Graphes exploratoires
Notebook EDA &amp; spec features</t>
  </si>
  <si>
    <t>Modélisation &amp; Comparaison</t>
  </si>
  <si>
    <t>- K-Means baseline (choix K)
- DBSCAN/OPTICS + tuning
- Évaluation (Inertie, Silhouette, temps accès zone)</t>
  </si>
  <si>
    <t>Rapport comparatif K-Means vs DBSCAN
Fichiers cluster_centers_par_day</t>
  </si>
  <si>
    <t>Visualisation &amp; Industrialisation</t>
  </si>
  <si>
    <t>- Cartes inter­actives Mapbox
- Dashboard Dash/Streamlit (sélecteurs jour/heure)
- Tests utilisateurs "métier"</t>
  </si>
  <si>
    <t>Dashboard proto hébergé
Cartes hot-zones par jour</t>
  </si>
  <si>
    <t>Documentation &amp; Livraison finale</t>
  </si>
  <si>
    <t>- Rédaction README + méthodo
- Slides de présentation
- Tag de version, déploiement</t>
  </si>
  <si>
    <t>Repo taggé v1.0
Doc complète + slides</t>
  </si>
  <si>
    <t>Uber a constaté que parfois les conducteurs ne sont pas là quand les utilisateurs en ont besoin? Même si les deux quartiers ne sont pas si loin, les utilisateurs devraient encore attendre 10 à 15 minutes avant d'être pris en charge, ce qui est trop long. Les recherches d'Uber montrent que les utilisateurs acceptent d'attendre 5 à 7 minutes, sinon ils annulent leur trajet.
Par conséquent, l'équipe de données d'Uber souhaiterait travailler sur un projet où leur application recommanderait que les zones chaudes dans les grandes villes se trouvent à un moment donné de la journée.</t>
  </si>
  <si>
    <t>Uber dispose déjà de données sur les collectes dans les grandes villes. L'objectif est de créer des algorithmes qui détermineront où se trouvent les zones chaudes dans lesquelles les conducteurs devraient être. Par conséquent, vous :
- Créer un algorithme pour trouver des zones chaudes
- Visualiser les résultats sur un tableau de bord</t>
  </si>
  <si>
    <t>- Déploiement d'un système de recommandation qui permettra de suggérer des produits supplémentaires aux utilisateurs, qui sont similaires aux articles qui les intéressent déjà. Les recommandations pourraient être matérialisées par une section "vous pourriez également être intéressé par ces produits..." qui apparaîtrait sur chaque page produit du site Web
- Amélioration de la structure du catalogue des produits grâce à l'extraction de sujets. L'idée est d'utiliser des méthodes non supervisées pour remettre en cause les catégories existantes: est-il possible de trouver de nouvelles catégories de produits qui seraient plus adaptées à la navigation sur le site web ?</t>
  </si>
  <si>
    <t>- Identifier des groupes de produits ayant des descriptions similaires.
- Utiliser les groupes de produits similaires pour construire un algorithme de système de recommandation simple.
- Utiliser des algorithmes de modélisation de sujets pour évaluer automatiquement les sujets latents présents dans les descriptions d'articles.</t>
  </si>
  <si>
    <t>- Entraîner au moins un modèle de clustering sur le corpus et afficher des nuages de mots décrivant les grappes
- Développer un code python simple qui permet à un utilisateur de taper l'identifiant d'un produit qui l'intéresse, puis obtenir une liste d'articles similaires
- Former au moins un modèle TruncatedSVD sur le corpus et afficher des nuages de mots décrivant les sujets latents</t>
  </si>
  <si>
    <t>Kick-off &amp; Setup</t>
  </si>
  <si>
    <t>- Lecture complète du brief et clarification des exigences
- Création du repo Git, environnement virtuel, structure des dossiers
- Import du jeu de données catalogue</t>
  </si>
  <si>
    <t>Cahier des charges court, repo initial prêt</t>
  </si>
  <si>
    <t>Pré-traitement &amp; EDA</t>
  </si>
  <si>
    <t>- Nettoyage texte (stop-words FR/EN, lemmatisation spaCy)
- Construction matrice TF-IDF
- Visualisations exploratoires</t>
  </si>
  <si>
    <t xml:space="preserve">	Notebook « EDA + preprocessing »</t>
  </si>
  <si>
    <t>Clustering &amp; Analyse</t>
  </si>
  <si>
    <t>- DBSCAN (métrique = cosine) + grid-search sur eps, min_samples
- Word-Cloud par cluster
- Validation business de la segmentation</t>
  </si>
  <si>
    <t>Modèle picklé, tableau clusters, images Word-Cloud, rapport insight</t>
  </si>
  <si>
    <t>Système de recommandation</t>
  </si>
  <si>
    <t>- Prototype find_similar_items basé sur les clusters
- Interface CLI / notebook de test
- Durcissement : tests unitaires, gestion cold-start, mesure perf</t>
  </si>
  <si>
    <t>Topic Modeling &amp; Insights</t>
  </si>
  <si>
    <t>- LSA (Truncated SVD) sur la même matrice TF-IDF
- Sélection optimale de n_components, création topic_encoded_df
- Word-Clouds des topics, attribution topic dominant par item, analyse métier</t>
  </si>
  <si>
    <t>Modèle picklé, tableau topics × termes, rapport « Nouveaux rayons »</t>
  </si>
  <si>
    <t>Packaging &amp; Documentation</t>
  </si>
  <si>
    <t>- README détaillé (setup, usage)
- requirements.txt / environment.yml
- Nettoyage &amp; docstrings du code</t>
  </si>
  <si>
    <t>Repository prêt à livrer</t>
  </si>
  <si>
    <t>Revue finale &amp; Présentation</t>
  </si>
  <si>
    <t>- Dry-run de la démo (≈ 10 min)
- Slides synthèse (problème → solution → impacts)
- Incorporation feedback de dernière minute</t>
  </si>
  <si>
    <t xml:space="preserve">	Présentation finale, livraison complète</t>
  </si>
  <si>
    <t>Tâches</t>
  </si>
  <si>
    <t>Finalisée</t>
  </si>
  <si>
    <t>Statut</t>
  </si>
  <si>
    <t>A faire</t>
  </si>
  <si>
    <t>En cours</t>
  </si>
  <si>
    <t>En attente</t>
  </si>
  <si>
    <t>Bloquée</t>
  </si>
  <si>
    <t>Analyse exploratoire : stats descriptives, corrélations, visualisations</t>
  </si>
  <si>
    <t>Nettoyage : supprimer les lignes où Weekly_Sales est manquant</t>
  </si>
  <si>
    <t>Feature engineering sur Date → Year, Month, Day, DayOfWeek</t>
  </si>
  <si>
    <t>Détection &amp; exclusion des outliers sur Temperature, Fuel_Price, CPI, Unemployment (hors plage définie)</t>
  </si>
  <si>
    <t>Séparation X / y &amp; split train-test</t>
  </si>
  <si>
    <t xml:space="preserve"> Pipeline ColumnTransformer (numérique / catégoriel)</t>
  </si>
  <si>
    <t>- Créer l’environnement (conda/venv, libs)
- Charger le jeu de données personnalisé</t>
  </si>
  <si>
    <t>Inspection de data_train.csv : types, valeurs manquantes, outliers</t>
  </si>
  <si>
    <t>Visualisations clés (distribution cible, corrélations, saisonnalité, etc.)</t>
  </si>
  <si>
    <t>Pré-traitements initiaux (encodage, imputation, scaling)</t>
  </si>
  <si>
    <t>Séparation train/validation</t>
  </si>
  <si>
    <t>Entraînement d’un modèle de base (p. ex. régression logistique) et mesure du F1</t>
  </si>
  <si>
    <t>- Feature engineering (interaction, agrégation, fréquence)
- Sélection de variables</t>
  </si>
  <si>
    <t>Optimisation par Grid/Random Search ou Optuna</t>
  </si>
  <si>
    <t>Validation croisée stratifiée</t>
  </si>
  <si>
    <t>Suivi des expériences (MLflow ou simple tableau)</t>
  </si>
  <si>
    <t>Support de présentation</t>
  </si>
  <si>
    <t>- Formamlisation support
- Relecture &amp; QA : Vérifier que chaque graphique répond à une question</t>
  </si>
  <si>
    <t>- Entraîner Ridge et/ou Lasso
- Elastic Net
- GridSearchCV sur α/λ pour optimiser la régularisation
- Comparer performances vs baseline
- Visualiser l’évolution des coefficients</t>
  </si>
  <si>
    <t>Présenter 1 projet.
- Fullstack Data Science - Final Project</t>
  </si>
  <si>
    <t>Déposer les livrables pour les 2 projets suivants mais n'en présenter qu'un seul (au choix) le jour de l'examen :
- 1 projet Fullstack Data Science - Exploratory Data Analysis Project (Projet Tinder)
- 1 projet Fullstack Data Science - Big Data Project (Projet Steam)</t>
  </si>
  <si>
    <t>- Avoir une carte avec des zones chaudes en utilisant n'importe quelle bibliothèque de pythons ( plotly ou quoi que ce soit d'autre).
- Description des zones chaudes par jour de semaine.
- Comparer les résultats avec au moins deux algorithmes non supervisés comme KMeans et DBScan</t>
  </si>
  <si>
    <t>Stocker dans S3 sous la forme de plusieurs fichiers csv</t>
  </si>
  <si>
    <t xml:space="preserve"> </t>
  </si>
  <si>
    <t>Test de modèles non linéaires (Random Forest, XGBoost)</t>
  </si>
  <si>
    <t xml:space="preserve">Script recommender.py </t>
  </si>
  <si>
    <t>Utiliser MLflow pour tracer hyper-paramètres</t>
  </si>
  <si>
    <t xml:space="preserve">
- Seuil: combien de temps le délai minimum devrait-il être fixé ?
- Champ d'application: devrions-nous permettre la fonctionnalité pour toutes les voitures?, uniquement Connecter les voitures?
- Tableau de bord en ligne
- Apprentissage automatique /predict, Critère d'évaluation
- Page de documentation
- MEP
</t>
  </si>
  <si>
    <t>- Feature engineering sur dataset Pricing
- Choisir modèle baseline (Ridge)
- Validation croisée + tracking (MLflow)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</si>
</sst>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1" x14ac:knownFonts="1">
    <font>
      <sz val="11"/>
      <color theme="1"/>
      <name val="Aptos Narrow"/>
      <family val="2"/>
      <scheme val="minor"/>
    </font>
    <font>
      <b/>
      <sz val="11"/>
      <color theme="1"/>
      <name val="Aptos Narrow"/>
      <family val="2"/>
      <scheme val="minor"/>
    </font>
    <font>
      <sz val="10"/>
      <color rgb="FF000000"/>
      <name val="Aptos Narrow"/>
      <family val="2"/>
      <scheme val="minor"/>
    </font>
    <font>
      <b/>
      <sz val="16"/>
      <color theme="1"/>
      <name val="Arial"/>
      <family val="2"/>
    </font>
    <font>
      <sz val="10"/>
      <name val="Arial"/>
      <family val="2"/>
    </font>
    <font>
      <sz val="11"/>
      <color theme="1"/>
      <name val="Arial"/>
      <family val="2"/>
    </font>
    <font>
      <b/>
      <sz val="20"/>
      <color theme="1"/>
      <name val="Arial"/>
      <family val="2"/>
    </font>
    <font>
      <sz val="16"/>
      <color theme="1"/>
      <name val="Arial Narrow"/>
      <family val="2"/>
    </font>
    <font>
      <b/>
      <sz val="12"/>
      <color rgb="FFFFFFFF"/>
      <name val="Arial"/>
      <family val="2"/>
    </font>
    <font>
      <sz val="12"/>
      <color theme="1"/>
      <name val="Arial"/>
      <family val="2"/>
    </font>
    <font>
      <b/>
      <sz val="12"/>
      <color theme="1"/>
      <name val="Arial"/>
      <family val="2"/>
    </font>
    <font>
      <sz val="12"/>
      <color theme="1"/>
      <name val="Arial Narrow"/>
      <family val="2"/>
    </font>
    <font>
      <b/>
      <sz val="12"/>
      <color rgb="FF333333"/>
      <name val="Arial"/>
      <family val="2"/>
    </font>
    <font>
      <b/>
      <i/>
      <sz val="8"/>
      <color rgb="FFB9AA9B"/>
      <name val="Arial"/>
      <family val="2"/>
    </font>
    <font>
      <b/>
      <sz val="11"/>
      <color rgb="FFFFFFFF"/>
      <name val="Arial"/>
      <family val="2"/>
    </font>
    <font>
      <b/>
      <sz val="11"/>
      <color theme="1"/>
      <name val="Arial"/>
      <family val="2"/>
    </font>
    <font>
      <sz val="10"/>
      <color theme="0"/>
      <name val="Arial"/>
      <family val="2"/>
    </font>
    <font>
      <b/>
      <sz val="8"/>
      <color theme="0"/>
      <name val="Arial"/>
      <family val="2"/>
    </font>
    <font>
      <sz val="11"/>
      <color rgb="FF000000"/>
      <name val="Arial"/>
      <family val="2"/>
    </font>
    <font>
      <sz val="8"/>
      <name val="Aptos Narrow"/>
      <family val="2"/>
      <scheme val="minor"/>
    </font>
    <font>
      <sz val="8"/>
      <color theme="1"/>
      <name val="Arial"/>
      <family val="2"/>
    </font>
  </fonts>
  <fills count="6">
    <fill>
      <patternFill patternType="none"/>
    </fill>
    <fill>
      <patternFill patternType="gray125"/>
    </fill>
    <fill>
      <patternFill patternType="solid">
        <fgColor theme="0"/>
        <bgColor theme="0"/>
      </patternFill>
    </fill>
    <fill>
      <patternFill patternType="solid">
        <fgColor theme="4"/>
        <bgColor theme="4"/>
      </patternFill>
    </fill>
    <fill>
      <patternFill patternType="solid">
        <fgColor rgb="FFF2F2F2"/>
        <bgColor rgb="FFF2F2F2"/>
      </patternFill>
    </fill>
    <fill>
      <patternFill patternType="solid">
        <fgColor rgb="FFDEEAF6"/>
        <bgColor rgb="FFDEEAF6"/>
      </patternFill>
    </fill>
  </fills>
  <borders count="12">
    <border>
      <left/>
      <right/>
      <top/>
      <bottom/>
      <diagonal/>
    </border>
    <border>
      <left/>
      <right/>
      <top/>
      <bottom style="thick">
        <color rgb="FFAEABAB"/>
      </bottom>
      <diagonal/>
    </border>
    <border>
      <left/>
      <right/>
      <top style="medium">
        <color rgb="FF7F7F7F"/>
      </top>
      <bottom/>
      <diagonal/>
    </border>
    <border>
      <left/>
      <right/>
      <top/>
      <bottom style="medium">
        <color rgb="FF7F7F7F"/>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284E3F"/>
      </left>
      <right style="thin">
        <color rgb="FF356854"/>
      </right>
      <top style="thin">
        <color rgb="FF284E3F"/>
      </top>
      <bottom style="thin">
        <color rgb="FF284E3F"/>
      </bottom>
      <diagonal/>
    </border>
    <border>
      <left/>
      <right/>
      <top style="thin">
        <color rgb="FFBFBFBF"/>
      </top>
      <bottom/>
      <diagonal/>
    </border>
    <border>
      <left/>
      <right/>
      <top/>
      <bottom style="thin">
        <color rgb="FFBFBFBF"/>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2" fillId="0" borderId="0"/>
  </cellStyleXfs>
  <cellXfs count="48">
    <xf numFmtId="0" fontId="0" fillId="0" borderId="0" xfId="0"/>
    <xf numFmtId="0" fontId="0" fillId="0" borderId="0" xfId="0" applyAlignment="1">
      <alignment vertical="center" wrapText="1"/>
    </xf>
    <xf numFmtId="0" fontId="0" fillId="0" borderId="0" xfId="0" applyAlignment="1">
      <alignment wrapText="1"/>
    </xf>
    <xf numFmtId="0" fontId="1" fillId="0" borderId="0" xfId="0" applyFont="1" applyAlignment="1">
      <alignment vertical="center" wrapText="1"/>
    </xf>
    <xf numFmtId="0" fontId="2" fillId="0" borderId="0" xfId="1"/>
    <xf numFmtId="0" fontId="6" fillId="2" borderId="0" xfId="1" applyFont="1" applyFill="1" applyAlignment="1">
      <alignment horizontal="center" vertical="center"/>
    </xf>
    <xf numFmtId="0" fontId="7" fillId="0" borderId="0" xfId="1" applyFont="1" applyAlignment="1">
      <alignment vertical="center" wrapText="1"/>
    </xf>
    <xf numFmtId="0" fontId="9" fillId="0" borderId="0" xfId="1" applyFont="1" applyAlignment="1">
      <alignment horizontal="center" vertical="center"/>
    </xf>
    <xf numFmtId="0" fontId="10" fillId="0" borderId="0" xfId="1" applyFont="1" applyAlignment="1">
      <alignment vertical="center"/>
    </xf>
    <xf numFmtId="0" fontId="11" fillId="0" borderId="0" xfId="1" applyFont="1" applyAlignment="1">
      <alignment vertical="center" wrapText="1"/>
    </xf>
    <xf numFmtId="0" fontId="9" fillId="4" borderId="2" xfId="1" applyFont="1" applyFill="1" applyBorder="1" applyAlignment="1">
      <alignment vertical="center" wrapText="1"/>
    </xf>
    <xf numFmtId="0" fontId="9" fillId="0" borderId="0" xfId="1" applyFont="1" applyAlignment="1">
      <alignment horizontal="left" vertical="center"/>
    </xf>
    <xf numFmtId="164" fontId="9" fillId="4" borderId="2" xfId="1" applyNumberFormat="1" applyFont="1" applyFill="1" applyBorder="1" applyAlignment="1">
      <alignment vertical="center" wrapText="1"/>
    </xf>
    <xf numFmtId="0" fontId="13" fillId="0" borderId="0" xfId="1" applyFont="1" applyAlignment="1">
      <alignment horizontal="left" vertical="center" wrapText="1"/>
    </xf>
    <xf numFmtId="0" fontId="13" fillId="0" borderId="0" xfId="1" applyFont="1" applyAlignment="1">
      <alignment vertical="center" wrapText="1"/>
    </xf>
    <xf numFmtId="0" fontId="12" fillId="0" borderId="3" xfId="1" applyFont="1" applyBorder="1" applyAlignment="1">
      <alignment horizontal="left" vertical="center"/>
    </xf>
    <xf numFmtId="0" fontId="10" fillId="4" borderId="4" xfId="1" applyFont="1" applyFill="1" applyBorder="1" applyAlignment="1">
      <alignment horizontal="left" vertical="center" wrapText="1"/>
    </xf>
    <xf numFmtId="0" fontId="4" fillId="0" borderId="0" xfId="1" applyFont="1"/>
    <xf numFmtId="0" fontId="12" fillId="0" borderId="0" xfId="1" applyFont="1" applyAlignment="1">
      <alignment horizontal="left" vertical="center"/>
    </xf>
    <xf numFmtId="0" fontId="10" fillId="5" borderId="0" xfId="1" applyFont="1" applyFill="1" applyAlignment="1">
      <alignment vertical="center" wrapText="1"/>
    </xf>
    <xf numFmtId="164" fontId="9" fillId="4" borderId="0" xfId="1" applyNumberFormat="1" applyFont="1" applyFill="1" applyAlignment="1">
      <alignment vertical="center" wrapText="1"/>
    </xf>
    <xf numFmtId="0" fontId="16" fillId="0" borderId="0" xfId="1" applyFont="1"/>
    <xf numFmtId="0" fontId="17" fillId="0" borderId="8" xfId="0" applyFont="1" applyBorder="1" applyAlignment="1">
      <alignment horizontal="left" vertical="center" wrapText="1"/>
    </xf>
    <xf numFmtId="0" fontId="18" fillId="0" borderId="11" xfId="1" applyFont="1" applyBorder="1" applyAlignment="1">
      <alignment horizontal="center" vertical="center"/>
    </xf>
    <xf numFmtId="0" fontId="20" fillId="4" borderId="9" xfId="0" applyFont="1" applyFill="1" applyBorder="1" applyAlignment="1">
      <alignment vertical="center" wrapText="1"/>
    </xf>
    <xf numFmtId="0" fontId="20" fillId="4" borderId="0" xfId="0" applyFont="1" applyFill="1" applyAlignment="1">
      <alignment vertical="center" wrapText="1"/>
    </xf>
    <xf numFmtId="0" fontId="20" fillId="4" borderId="10" xfId="0" applyFont="1" applyFill="1" applyBorder="1" applyAlignment="1">
      <alignment vertical="center" wrapText="1"/>
    </xf>
    <xf numFmtId="0" fontId="5" fillId="4" borderId="5" xfId="1" quotePrefix="1" applyFont="1" applyFill="1" applyBorder="1" applyAlignment="1">
      <alignment horizontal="left" vertical="center" wrapText="1"/>
    </xf>
    <xf numFmtId="0" fontId="5" fillId="4" borderId="6" xfId="1" quotePrefix="1" applyFont="1" applyFill="1" applyBorder="1" applyAlignment="1">
      <alignment horizontal="left" vertical="center" wrapText="1"/>
    </xf>
    <xf numFmtId="0" fontId="5" fillId="4" borderId="7" xfId="1" quotePrefix="1" applyFont="1" applyFill="1" applyBorder="1" applyAlignment="1">
      <alignment horizontal="left" vertical="center" wrapText="1"/>
    </xf>
    <xf numFmtId="0" fontId="5" fillId="4" borderId="5" xfId="1" applyFont="1" applyFill="1" applyBorder="1" applyAlignment="1">
      <alignment horizontal="left" vertical="center" wrapText="1"/>
    </xf>
    <xf numFmtId="0" fontId="4" fillId="0" borderId="7" xfId="1" applyFont="1" applyBorder="1"/>
    <xf numFmtId="0" fontId="4" fillId="0" borderId="6" xfId="1" applyFont="1" applyBorder="1"/>
    <xf numFmtId="0" fontId="3" fillId="2" borderId="0" xfId="1" applyFont="1" applyFill="1" applyAlignment="1">
      <alignment horizontal="center" vertical="center" wrapText="1"/>
    </xf>
    <xf numFmtId="0" fontId="4" fillId="0" borderId="0" xfId="1" applyFont="1"/>
    <xf numFmtId="0" fontId="2" fillId="0" borderId="0" xfId="1"/>
    <xf numFmtId="0" fontId="4" fillId="0" borderId="1" xfId="1" applyFont="1" applyBorder="1"/>
    <xf numFmtId="0" fontId="8" fillId="3" borderId="0" xfId="1" applyFont="1" applyFill="1" applyAlignment="1">
      <alignment horizontal="center" vertical="center" wrapText="1"/>
    </xf>
    <xf numFmtId="0" fontId="12" fillId="0" borderId="3" xfId="1" applyFont="1" applyBorder="1" applyAlignment="1">
      <alignment horizontal="left" vertical="center"/>
    </xf>
    <xf numFmtId="0" fontId="4" fillId="0" borderId="3" xfId="1" applyFont="1" applyBorder="1"/>
    <xf numFmtId="0" fontId="5" fillId="4" borderId="2" xfId="1" quotePrefix="1" applyFont="1" applyFill="1" applyBorder="1" applyAlignment="1">
      <alignment horizontal="left" vertical="center" wrapText="1"/>
    </xf>
    <xf numFmtId="0" fontId="4" fillId="0" borderId="2" xfId="1" applyFont="1" applyBorder="1"/>
    <xf numFmtId="0" fontId="12" fillId="0" borderId="0" xfId="1" applyFont="1" applyAlignment="1">
      <alignment horizontal="left" vertical="center"/>
    </xf>
    <xf numFmtId="0" fontId="5" fillId="4" borderId="2" xfId="1" applyFont="1" applyFill="1" applyBorder="1" applyAlignment="1">
      <alignment horizontal="left" vertical="center" wrapText="1"/>
    </xf>
    <xf numFmtId="0" fontId="14" fillId="3" borderId="0" xfId="1" applyFont="1" applyFill="1" applyAlignment="1">
      <alignment horizontal="center" vertical="center" wrapText="1"/>
    </xf>
    <xf numFmtId="0" fontId="10" fillId="5" borderId="0" xfId="1" applyFont="1" applyFill="1" applyAlignment="1">
      <alignment horizontal="center" vertical="center" wrapText="1"/>
    </xf>
    <xf numFmtId="0" fontId="5" fillId="4" borderId="7" xfId="1" applyFont="1" applyFill="1" applyBorder="1" applyAlignment="1">
      <alignment horizontal="left" vertical="center" wrapText="1"/>
    </xf>
    <xf numFmtId="0" fontId="5" fillId="4" borderId="6" xfId="1" applyFont="1" applyFill="1" applyBorder="1" applyAlignment="1">
      <alignment horizontal="left" vertical="center" wrapText="1"/>
    </xf>
  </cellXfs>
  <cellStyles count="2">
    <cellStyle name="Normal" xfId="0" builtinId="0"/>
    <cellStyle name="Normal 2" xfId="1" xr:uid="{05313634-18E8-4165-A6F1-7BFE5C0EFA70}"/>
  </cellStyles>
  <dxfs count="51">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color rgb="FF006100"/>
      </font>
      <fill>
        <patternFill>
          <bgColor rgb="FFC6EFCE"/>
        </patternFill>
      </fill>
    </dxf>
    <dxf>
      <fill>
        <patternFill>
          <bgColor rgb="FF00B0F0"/>
        </patternFill>
      </fill>
    </dxf>
    <dxf>
      <fill>
        <patternFill>
          <bgColor theme="0" tint="-0.24994659260841701"/>
        </patternFill>
      </fill>
    </dxf>
    <dxf>
      <font>
        <color rgb="FF9C0006"/>
      </font>
      <fill>
        <patternFill>
          <bgColor rgb="FFFFC7CE"/>
        </patternFill>
      </fill>
    </dxf>
    <dxf>
      <font>
        <color rgb="FF9C5700"/>
      </font>
      <fill>
        <patternFill>
          <bgColor rgb="FFFFEB9C"/>
        </patternFill>
      </fill>
    </dxf>
    <dxf>
      <font>
        <b val="0"/>
      </font>
    </dxf>
    <dxf>
      <font>
        <b val="0"/>
      </font>
    </dxf>
    <dxf>
      <font>
        <strike val="0"/>
        <outline val="0"/>
        <shadow val="0"/>
        <u val="none"/>
        <vertAlign val="baseline"/>
        <sz val="8"/>
        <color theme="0"/>
        <name val="Arial"/>
        <scheme val="none"/>
      </font>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s>
  <tableStyles count="1" defaultTableStyle="TableStyleMedium2" defaultPivotStyle="PivotStyleLight16">
    <tableStyle name="Suivi Actions-style" pivot="0" count="3" xr9:uid="{3AD1ADA3-AAA2-420D-8EFB-4D0154CE9C0C}">
      <tableStyleElement type="headerRow" dxfId="50"/>
      <tableStyleElement type="firstRowStripe" dxfId="49"/>
      <tableStyleElement type="secondRowStripe" dxfId="48"/>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ustomXml" Target="../customXml/item1.xml"/><Relationship Id="rId2" Type="http://schemas.openxmlformats.org/officeDocument/2006/relationships/worksheet" Target="worksheets/sheet2.xml"/><Relationship Id="rId16"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C5F8688-1AA3-4E8C-8B15-8536C568CFD8}" name="Référentiel" displayName="Référentiel" ref="B2:B7" headerRowDxfId="47" dataDxfId="46">
  <tableColumns count="1">
    <tableColumn id="1" xr3:uid="{16FB8E62-9100-40ED-B418-901BCDEEB24C}" name="Statut" dataDxfId="45"/>
  </tableColumns>
  <tableStyleInfo name="Suivi Actions-style" showFirstColumn="1" showLastColumn="1" showRowStripes="1" showColumnStripes="0"/>
</table>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B579-0650-4C49-8E87-E8C152859D06}">
  <sheetPr>
    <tabColor rgb="FFFF0000"/>
  </sheetPr>
  <dimension ref="A1:E7"/>
  <sheetViews>
    <sheetView zoomScaleNormal="100" workbookViewId="0">
      <pane ySplit="1" topLeftCell="A2" activePane="bottomLeft" state="frozen"/>
      <selection pane="bottomLeft" activeCell="D7" sqref="D7"/>
    </sheetView>
  </sheetViews>
  <sheetFormatPr baseColWidth="10" defaultRowHeight="15" x14ac:dyDescent="0.25"/>
  <cols>
    <col min="1" max="1" width="13.42578125" style="2" bestFit="1" customWidth="1"/>
    <col min="2" max="2" width="33.85546875" style="2" customWidth="1"/>
    <col min="3" max="3" width="16.85546875" style="2" customWidth="1"/>
    <col min="4" max="4" width="72.28515625" style="2" customWidth="1"/>
    <col min="5" max="5" width="33.85546875" style="2" customWidth="1"/>
  </cols>
  <sheetData>
    <row r="1" spans="1:5" ht="30" x14ac:dyDescent="0.25">
      <c r="A1" s="3" t="s">
        <v>0</v>
      </c>
      <c r="B1" s="3" t="s">
        <v>1</v>
      </c>
      <c r="C1" s="3" t="s">
        <v>2</v>
      </c>
      <c r="D1" s="3" t="s">
        <v>56</v>
      </c>
      <c r="E1" s="3" t="s">
        <v>3</v>
      </c>
    </row>
    <row r="2" spans="1:5" ht="45" x14ac:dyDescent="0.25">
      <c r="A2" s="1">
        <v>1</v>
      </c>
      <c r="B2" s="1" t="s">
        <v>4</v>
      </c>
      <c r="C2" s="1" t="s">
        <v>5</v>
      </c>
      <c r="D2" s="1" t="s">
        <v>15</v>
      </c>
      <c r="E2" s="1" t="s">
        <v>16</v>
      </c>
    </row>
    <row r="3" spans="1:5" ht="75" x14ac:dyDescent="0.25">
      <c r="A3" s="1">
        <v>2</v>
      </c>
      <c r="B3" s="1" t="s">
        <v>6</v>
      </c>
      <c r="C3" s="1" t="s">
        <v>7</v>
      </c>
      <c r="D3" s="1" t="s">
        <v>272</v>
      </c>
      <c r="E3" s="1" t="s">
        <v>16</v>
      </c>
    </row>
    <row r="4" spans="1:5" ht="210" x14ac:dyDescent="0.25">
      <c r="A4" s="1">
        <v>3</v>
      </c>
      <c r="B4" s="1" t="s">
        <v>8</v>
      </c>
      <c r="C4" s="1" t="s">
        <v>9</v>
      </c>
      <c r="D4" s="1" t="s">
        <v>18</v>
      </c>
      <c r="E4" s="1" t="s">
        <v>16</v>
      </c>
    </row>
    <row r="5" spans="1:5" ht="45" x14ac:dyDescent="0.25">
      <c r="A5" s="1">
        <v>4</v>
      </c>
      <c r="B5" s="1" t="s">
        <v>19</v>
      </c>
      <c r="C5" s="1" t="s">
        <v>10</v>
      </c>
      <c r="D5" s="1" t="s">
        <v>20</v>
      </c>
      <c r="E5" s="1" t="s">
        <v>16</v>
      </c>
    </row>
    <row r="6" spans="1:5" ht="60" x14ac:dyDescent="0.25">
      <c r="A6" s="1">
        <v>5</v>
      </c>
      <c r="B6" s="1" t="s">
        <v>11</v>
      </c>
      <c r="C6" s="1" t="s">
        <v>12</v>
      </c>
      <c r="D6" s="1" t="s">
        <v>21</v>
      </c>
      <c r="E6" s="1" t="s">
        <v>16</v>
      </c>
    </row>
    <row r="7" spans="1:5" ht="45" x14ac:dyDescent="0.25">
      <c r="A7" s="1">
        <v>6</v>
      </c>
      <c r="B7" s="1" t="s">
        <v>13</v>
      </c>
      <c r="C7" s="1" t="s">
        <v>14</v>
      </c>
      <c r="D7" s="1" t="s">
        <v>271</v>
      </c>
      <c r="E7" s="1" t="s">
        <v>22</v>
      </c>
    </row>
  </sheetData>
  <autoFilter ref="A1:E7" xr:uid="{1869A16E-871A-455B-8F0B-D28923193BAF}"/>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69A16E-871A-455B-8F0B-D28923193BAF}">
  <sheetPr>
    <tabColor rgb="FFFF0000"/>
  </sheetPr>
  <dimension ref="A1:E7"/>
  <sheetViews>
    <sheetView zoomScaleNormal="100" workbookViewId="0">
      <pane ySplit="1" topLeftCell="A5" activePane="bottomLeft" state="frozen"/>
      <selection pane="bottomLeft" activeCell="D7" sqref="D7"/>
    </sheetView>
  </sheetViews>
  <sheetFormatPr baseColWidth="10" defaultRowHeight="15" x14ac:dyDescent="0.25"/>
  <cols>
    <col min="1" max="1" width="13.42578125" style="2" bestFit="1" customWidth="1"/>
    <col min="2" max="2" width="33.85546875" style="2" customWidth="1"/>
    <col min="3" max="3" width="16.85546875" style="2" customWidth="1"/>
    <col min="4" max="4" width="72.28515625" style="2" customWidth="1"/>
    <col min="5" max="5" width="33.85546875" style="2" customWidth="1"/>
  </cols>
  <sheetData>
    <row r="1" spans="1:5" ht="30" x14ac:dyDescent="0.25">
      <c r="A1" s="3" t="s">
        <v>0</v>
      </c>
      <c r="B1" s="3" t="s">
        <v>1</v>
      </c>
      <c r="C1" s="3" t="s">
        <v>2</v>
      </c>
      <c r="D1" s="3" t="s">
        <v>56</v>
      </c>
      <c r="E1" s="3" t="s">
        <v>3</v>
      </c>
    </row>
    <row r="2" spans="1:5" ht="45" x14ac:dyDescent="0.25">
      <c r="A2" s="1">
        <v>1</v>
      </c>
      <c r="B2" s="1" t="s">
        <v>4</v>
      </c>
      <c r="C2" s="1" t="s">
        <v>5</v>
      </c>
      <c r="D2" s="1" t="s">
        <v>15</v>
      </c>
      <c r="E2" s="1" t="s">
        <v>16</v>
      </c>
    </row>
    <row r="3" spans="1:5" ht="180" x14ac:dyDescent="0.25">
      <c r="A3" s="1">
        <v>2</v>
      </c>
      <c r="B3" s="1" t="s">
        <v>6</v>
      </c>
      <c r="C3" s="1" t="s">
        <v>7</v>
      </c>
      <c r="D3" s="1" t="s">
        <v>17</v>
      </c>
      <c r="E3" s="1" t="s">
        <v>16</v>
      </c>
    </row>
    <row r="4" spans="1:5" ht="210" x14ac:dyDescent="0.25">
      <c r="A4" s="1">
        <v>3</v>
      </c>
      <c r="B4" s="1" t="s">
        <v>8</v>
      </c>
      <c r="C4" s="1" t="s">
        <v>9</v>
      </c>
      <c r="D4" s="1" t="s">
        <v>18</v>
      </c>
      <c r="E4" s="1" t="s">
        <v>16</v>
      </c>
    </row>
    <row r="5" spans="1:5" ht="45" x14ac:dyDescent="0.25">
      <c r="A5" s="1">
        <v>4</v>
      </c>
      <c r="B5" s="1" t="s">
        <v>19</v>
      </c>
      <c r="C5" s="1" t="s">
        <v>10</v>
      </c>
      <c r="D5" s="1" t="s">
        <v>20</v>
      </c>
      <c r="E5" s="1" t="s">
        <v>16</v>
      </c>
    </row>
    <row r="6" spans="1:5" ht="60" x14ac:dyDescent="0.25">
      <c r="A6" s="1">
        <v>5</v>
      </c>
      <c r="B6" s="1" t="s">
        <v>11</v>
      </c>
      <c r="C6" s="1" t="s">
        <v>12</v>
      </c>
      <c r="D6" s="1" t="s">
        <v>21</v>
      </c>
      <c r="E6" s="1" t="s">
        <v>16</v>
      </c>
    </row>
    <row r="7" spans="1:5" ht="195" x14ac:dyDescent="0.25">
      <c r="A7" s="1">
        <v>6</v>
      </c>
      <c r="B7" s="1" t="s">
        <v>13</v>
      </c>
      <c r="C7" s="1" t="s">
        <v>14</v>
      </c>
      <c r="D7" s="1" t="s">
        <v>23</v>
      </c>
      <c r="E7" s="1" t="s">
        <v>22</v>
      </c>
    </row>
  </sheetData>
  <autoFilter ref="A1:E7" xr:uid="{1869A16E-871A-455B-8F0B-D28923193BAF}"/>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81FB99-7E87-41A4-A8B4-B5D99EC8DA8C}">
  <sheetPr>
    <tabColor rgb="FFFFC000"/>
    <pageSetUpPr fitToPage="1"/>
  </sheetPr>
  <dimension ref="B1:L31"/>
  <sheetViews>
    <sheetView showGridLines="0" topLeftCell="A21" zoomScaleNormal="100" workbookViewId="0">
      <selection activeCell="I31" sqref="I31:J31"/>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0" width="10" style="4" customWidth="1"/>
    <col min="31" max="16384" width="12.5703125" style="4"/>
  </cols>
  <sheetData>
    <row r="1" spans="2:11" ht="15" customHeight="1" x14ac:dyDescent="0.25">
      <c r="B1" s="33" t="s">
        <v>36</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190.5" customHeight="1" x14ac:dyDescent="0.25">
      <c r="B12" s="40" t="s">
        <v>37</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38</v>
      </c>
      <c r="C15" s="41"/>
      <c r="D15" s="41"/>
      <c r="E15" s="41"/>
      <c r="F15" s="41"/>
      <c r="G15" s="14"/>
      <c r="H15" s="40" t="s">
        <v>40</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66"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51" customHeight="1" x14ac:dyDescent="0.25">
      <c r="B25" s="16" t="s">
        <v>42</v>
      </c>
      <c r="C25" s="27" t="s">
        <v>43</v>
      </c>
      <c r="D25" s="32"/>
      <c r="E25" s="32"/>
      <c r="F25" s="32"/>
      <c r="G25" s="32"/>
      <c r="H25" s="31"/>
      <c r="I25" s="30"/>
      <c r="J25" s="31"/>
      <c r="L25" s="23" t="s">
        <v>246</v>
      </c>
    </row>
    <row r="26" spans="2:12" ht="51" customHeight="1" x14ac:dyDescent="0.25">
      <c r="B26" s="16" t="s">
        <v>41</v>
      </c>
      <c r="C26" s="30" t="s">
        <v>44</v>
      </c>
      <c r="D26" s="32"/>
      <c r="E26" s="32"/>
      <c r="F26" s="32"/>
      <c r="G26" s="32"/>
      <c r="H26" s="31"/>
      <c r="I26" s="30"/>
      <c r="J26" s="31"/>
      <c r="L26" s="23" t="s">
        <v>246</v>
      </c>
    </row>
    <row r="27" spans="2:12" ht="51" customHeight="1" x14ac:dyDescent="0.25">
      <c r="B27" s="16" t="s">
        <v>45</v>
      </c>
      <c r="C27" s="27" t="s">
        <v>46</v>
      </c>
      <c r="D27" s="28"/>
      <c r="E27" s="28"/>
      <c r="F27" s="28"/>
      <c r="G27" s="28"/>
      <c r="H27" s="29"/>
      <c r="I27" s="30" t="s">
        <v>47</v>
      </c>
      <c r="J27" s="31"/>
      <c r="L27" s="23" t="s">
        <v>246</v>
      </c>
    </row>
    <row r="28" spans="2:12" ht="51" customHeight="1" x14ac:dyDescent="0.25">
      <c r="B28" s="16" t="s">
        <v>48</v>
      </c>
      <c r="C28" s="27" t="s">
        <v>49</v>
      </c>
      <c r="D28" s="32"/>
      <c r="E28" s="32"/>
      <c r="F28" s="32"/>
      <c r="G28" s="32"/>
      <c r="H28" s="31"/>
      <c r="I28" s="27" t="s">
        <v>50</v>
      </c>
      <c r="J28" s="31"/>
      <c r="L28" s="23" t="s">
        <v>246</v>
      </c>
    </row>
    <row r="29" spans="2:12" ht="76.349999999999994" customHeight="1" x14ac:dyDescent="0.25">
      <c r="B29" s="16" t="s">
        <v>51</v>
      </c>
      <c r="C29" s="27" t="s">
        <v>52</v>
      </c>
      <c r="D29" s="32"/>
      <c r="E29" s="32"/>
      <c r="F29" s="32"/>
      <c r="G29" s="32"/>
      <c r="H29" s="31"/>
      <c r="I29" s="30"/>
      <c r="J29" s="31"/>
      <c r="L29" s="23" t="s">
        <v>246</v>
      </c>
    </row>
    <row r="30" spans="2:12" ht="51" customHeight="1" x14ac:dyDescent="0.25">
      <c r="B30" s="16" t="s">
        <v>53</v>
      </c>
      <c r="C30" s="30" t="s">
        <v>274</v>
      </c>
      <c r="D30" s="32"/>
      <c r="E30" s="32"/>
      <c r="F30" s="32"/>
      <c r="G30" s="32"/>
      <c r="H30" s="31"/>
      <c r="I30" s="30"/>
      <c r="J30" s="31"/>
      <c r="L30" s="23" t="s">
        <v>246</v>
      </c>
    </row>
    <row r="31" spans="2:12" ht="51" customHeight="1" x14ac:dyDescent="0.25">
      <c r="B31" s="16" t="s">
        <v>54</v>
      </c>
      <c r="C31" s="27" t="s">
        <v>55</v>
      </c>
      <c r="D31" s="32"/>
      <c r="E31" s="32"/>
      <c r="F31" s="32"/>
      <c r="G31" s="32"/>
      <c r="H31" s="31"/>
      <c r="I31" s="30"/>
      <c r="J31" s="31"/>
      <c r="L31" s="23" t="s">
        <v>246</v>
      </c>
    </row>
  </sheetData>
  <mergeCells count="23">
    <mergeCell ref="B11:J11"/>
    <mergeCell ref="B12:J12"/>
    <mergeCell ref="B14:D14"/>
    <mergeCell ref="B1:J3"/>
    <mergeCell ref="B5:J5"/>
    <mergeCell ref="B15:F19"/>
    <mergeCell ref="H15:J19"/>
    <mergeCell ref="B21:J21"/>
    <mergeCell ref="B23:J23"/>
    <mergeCell ref="C25:H25"/>
    <mergeCell ref="I25:J25"/>
    <mergeCell ref="C26:H26"/>
    <mergeCell ref="I26:J26"/>
    <mergeCell ref="C27:H27"/>
    <mergeCell ref="I27:J27"/>
    <mergeCell ref="C28:H28"/>
    <mergeCell ref="I28:J28"/>
    <mergeCell ref="C29:H29"/>
    <mergeCell ref="I29:J29"/>
    <mergeCell ref="C30:H30"/>
    <mergeCell ref="I30:J30"/>
    <mergeCell ref="C31:H31"/>
    <mergeCell ref="I31:J31"/>
  </mergeCells>
  <conditionalFormatting sqref="L1:L1048576">
    <cfRule type="cellIs" dxfId="44" priority="5" operator="equal">
      <formula>"A faire"</formula>
    </cfRule>
  </conditionalFormatting>
  <conditionalFormatting sqref="L25:L31">
    <cfRule type="cellIs" dxfId="43" priority="1" operator="equal">
      <formula>"Bloquée"</formula>
    </cfRule>
    <cfRule type="cellIs" dxfId="42" priority="2" operator="equal">
      <formula>"Finalisée"</formula>
    </cfRule>
    <cfRule type="cellIs" dxfId="41" priority="3" operator="equal">
      <formula>"En attente"</formula>
    </cfRule>
    <cfRule type="cellIs" dxfId="40" priority="4"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AF8FEAFB-EC7D-43CE-84A4-925A470322B9}">
          <x14:formula1>
            <xm:f>Données!$B$3:$B$7</xm:f>
          </x14:formula1>
          <xm:sqref>L25:L31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8A185D-F2C6-4386-8FEC-B300AB3BF255}">
  <sheetPr>
    <tabColor rgb="FF92D050"/>
    <pageSetUpPr fitToPage="1"/>
  </sheetPr>
  <dimension ref="B1:L33"/>
  <sheetViews>
    <sheetView showGridLines="0" topLeftCell="A21" zoomScaleNormal="100" workbookViewId="0">
      <selection activeCell="L33" sqref="L33"/>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1" width="10" style="4" customWidth="1"/>
    <col min="32" max="16384" width="12.5703125" style="4"/>
  </cols>
  <sheetData>
    <row r="1" spans="2:11" ht="15" customHeight="1" x14ac:dyDescent="0.25">
      <c r="B1" s="33" t="s">
        <v>57</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211.5" customHeight="1" x14ac:dyDescent="0.25">
      <c r="B12" s="40" t="s">
        <v>65</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66</v>
      </c>
      <c r="C15" s="41"/>
      <c r="D15" s="41"/>
      <c r="E15" s="41"/>
      <c r="F15" s="41"/>
      <c r="G15" s="14"/>
      <c r="H15" s="40" t="s">
        <v>117</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187.5"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51" customHeight="1" x14ac:dyDescent="0.25">
      <c r="B25" s="16" t="s">
        <v>104</v>
      </c>
      <c r="C25" s="27" t="s">
        <v>106</v>
      </c>
      <c r="D25" s="32"/>
      <c r="E25" s="32"/>
      <c r="F25" s="32"/>
      <c r="G25" s="32"/>
      <c r="H25" s="31"/>
      <c r="I25" s="30"/>
      <c r="J25" s="31"/>
      <c r="L25" s="23" t="s">
        <v>246</v>
      </c>
    </row>
    <row r="26" spans="2:12" ht="51" customHeight="1" x14ac:dyDescent="0.25">
      <c r="B26" s="16" t="s">
        <v>105</v>
      </c>
      <c r="C26" s="30" t="s">
        <v>107</v>
      </c>
      <c r="D26" s="32"/>
      <c r="E26" s="32"/>
      <c r="F26" s="32"/>
      <c r="G26" s="32"/>
      <c r="H26" s="31"/>
      <c r="I26" s="30" t="s">
        <v>108</v>
      </c>
      <c r="J26" s="31"/>
      <c r="L26" s="23" t="s">
        <v>246</v>
      </c>
    </row>
    <row r="27" spans="2:12" ht="51" customHeight="1" x14ac:dyDescent="0.25">
      <c r="B27" s="16" t="s">
        <v>109</v>
      </c>
      <c r="C27" s="27" t="s">
        <v>110</v>
      </c>
      <c r="D27" s="28"/>
      <c r="E27" s="28"/>
      <c r="F27" s="28"/>
      <c r="G27" s="28"/>
      <c r="H27" s="29"/>
      <c r="I27" s="30"/>
      <c r="J27" s="31"/>
      <c r="L27" s="23" t="s">
        <v>246</v>
      </c>
    </row>
    <row r="28" spans="2:12" ht="51" customHeight="1" x14ac:dyDescent="0.25">
      <c r="B28" s="16" t="s">
        <v>111</v>
      </c>
      <c r="C28" s="27" t="s">
        <v>112</v>
      </c>
      <c r="D28" s="32"/>
      <c r="E28" s="32"/>
      <c r="F28" s="32"/>
      <c r="G28" s="32"/>
      <c r="H28" s="31"/>
      <c r="I28" s="27"/>
      <c r="J28" s="31"/>
      <c r="L28" s="23" t="s">
        <v>246</v>
      </c>
    </row>
    <row r="29" spans="2:12" ht="51" customHeight="1" x14ac:dyDescent="0.25">
      <c r="B29" s="16" t="s">
        <v>113</v>
      </c>
      <c r="C29" s="27" t="s">
        <v>114</v>
      </c>
      <c r="D29" s="32"/>
      <c r="E29" s="32"/>
      <c r="F29" s="32"/>
      <c r="G29" s="32"/>
      <c r="H29" s="31"/>
      <c r="I29" s="27"/>
      <c r="J29" s="31"/>
      <c r="L29" s="23" t="s">
        <v>246</v>
      </c>
    </row>
    <row r="30" spans="2:12" ht="51" customHeight="1" x14ac:dyDescent="0.25">
      <c r="B30" s="16" t="s">
        <v>115</v>
      </c>
      <c r="C30" s="30" t="s">
        <v>116</v>
      </c>
      <c r="D30" s="32"/>
      <c r="E30" s="32"/>
      <c r="F30" s="32"/>
      <c r="G30" s="32"/>
      <c r="H30" s="31"/>
      <c r="I30" s="30"/>
      <c r="J30" s="31"/>
      <c r="L30" s="23" t="s">
        <v>246</v>
      </c>
    </row>
    <row r="31" spans="2:12" ht="51" customHeight="1" x14ac:dyDescent="0.25">
      <c r="B31" s="16" t="s">
        <v>118</v>
      </c>
      <c r="C31" s="27" t="s">
        <v>119</v>
      </c>
      <c r="D31" s="32"/>
      <c r="E31" s="32"/>
      <c r="F31" s="32"/>
      <c r="G31" s="32"/>
      <c r="H31" s="31"/>
      <c r="I31" s="30"/>
      <c r="J31" s="31"/>
      <c r="L31" s="23" t="s">
        <v>246</v>
      </c>
    </row>
    <row r="32" spans="2:12" ht="51" customHeight="1" x14ac:dyDescent="0.25">
      <c r="B32" s="16" t="s">
        <v>120</v>
      </c>
      <c r="C32" s="27" t="s">
        <v>269</v>
      </c>
      <c r="D32" s="32"/>
      <c r="E32" s="32"/>
      <c r="F32" s="32"/>
      <c r="G32" s="32"/>
      <c r="H32" s="31"/>
      <c r="I32" s="30" t="s">
        <v>268</v>
      </c>
      <c r="J32" s="31"/>
      <c r="L32" s="23" t="s">
        <v>246</v>
      </c>
    </row>
    <row r="33" spans="2:12" ht="51" customHeight="1" x14ac:dyDescent="0.25">
      <c r="B33" s="16" t="s">
        <v>121</v>
      </c>
      <c r="C33" s="27" t="s">
        <v>122</v>
      </c>
      <c r="D33" s="32"/>
      <c r="E33" s="32"/>
      <c r="F33" s="32"/>
      <c r="G33" s="32"/>
      <c r="H33" s="31"/>
      <c r="I33" s="30"/>
      <c r="J33" s="31"/>
      <c r="L33" s="23" t="s">
        <v>246</v>
      </c>
    </row>
  </sheetData>
  <mergeCells count="27">
    <mergeCell ref="B15:F19"/>
    <mergeCell ref="H15:J19"/>
    <mergeCell ref="B1:J3"/>
    <mergeCell ref="B5:J5"/>
    <mergeCell ref="B11:J11"/>
    <mergeCell ref="B12:J12"/>
    <mergeCell ref="B14:D14"/>
    <mergeCell ref="B21:J21"/>
    <mergeCell ref="B23:J23"/>
    <mergeCell ref="C25:H25"/>
    <mergeCell ref="I25:J25"/>
    <mergeCell ref="C26:H26"/>
    <mergeCell ref="I26:J26"/>
    <mergeCell ref="C27:H27"/>
    <mergeCell ref="I27:J27"/>
    <mergeCell ref="C28:H28"/>
    <mergeCell ref="I28:J28"/>
    <mergeCell ref="C29:H29"/>
    <mergeCell ref="I29:J29"/>
    <mergeCell ref="C32:H32"/>
    <mergeCell ref="I32:J32"/>
    <mergeCell ref="C33:H33"/>
    <mergeCell ref="I33:J33"/>
    <mergeCell ref="C30:H30"/>
    <mergeCell ref="I30:J30"/>
    <mergeCell ref="C31:H31"/>
    <mergeCell ref="I31:J31"/>
  </mergeCells>
  <conditionalFormatting sqref="L1:L1048576">
    <cfRule type="cellIs" dxfId="39" priority="5" operator="equal">
      <formula>"A faire"</formula>
    </cfRule>
  </conditionalFormatting>
  <conditionalFormatting sqref="L25:L33">
    <cfRule type="cellIs" dxfId="38" priority="1" operator="equal">
      <formula>"Bloquée"</formula>
    </cfRule>
    <cfRule type="cellIs" dxfId="37" priority="2" operator="equal">
      <formula>"Finalisée"</formula>
    </cfRule>
    <cfRule type="cellIs" dxfId="36" priority="3" operator="equal">
      <formula>"En attente"</formula>
    </cfRule>
    <cfRule type="cellIs" dxfId="35" priority="4"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CE09F43-D1D3-4C60-90D5-139C60C2A6B5}">
          <x14:formula1>
            <xm:f>Données!$B$3:$B$7</xm:f>
          </x14:formula1>
          <xm:sqref>L25:L33</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959D9-0A7D-40BD-9B46-B8F281A9D515}">
  <sheetPr>
    <tabColor rgb="FF92D050"/>
    <pageSetUpPr fitToPage="1"/>
  </sheetPr>
  <dimension ref="B1:T40"/>
  <sheetViews>
    <sheetView showGridLines="0" topLeftCell="A31" zoomScaleNormal="100" workbookViewId="0">
      <selection activeCell="I40" sqref="I40:J40"/>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1" width="10" style="4" customWidth="1"/>
    <col min="32" max="16384" width="12.5703125" style="4"/>
  </cols>
  <sheetData>
    <row r="1" spans="2:11" ht="15" customHeight="1" x14ac:dyDescent="0.25">
      <c r="B1" s="33" t="s">
        <v>58</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47.1" customHeight="1" x14ac:dyDescent="0.25">
      <c r="B12" s="40" t="s">
        <v>102</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103</v>
      </c>
      <c r="C15" s="41"/>
      <c r="D15" s="41"/>
      <c r="E15" s="41"/>
      <c r="F15" s="41"/>
      <c r="G15" s="14"/>
      <c r="H15" s="40" t="s">
        <v>72</v>
      </c>
      <c r="I15" s="41"/>
      <c r="J15" s="41"/>
      <c r="K15" s="17"/>
    </row>
    <row r="16" spans="2:11" ht="13.5" x14ac:dyDescent="0.25">
      <c r="B16" s="34"/>
      <c r="C16" s="35"/>
      <c r="D16" s="35"/>
      <c r="E16" s="35"/>
      <c r="F16" s="34"/>
      <c r="G16" s="14"/>
      <c r="H16" s="34"/>
      <c r="I16" s="35"/>
      <c r="J16" s="34"/>
      <c r="K16" s="17"/>
    </row>
    <row r="17" spans="2:20" ht="13.5" x14ac:dyDescent="0.25">
      <c r="B17" s="34"/>
      <c r="C17" s="35"/>
      <c r="D17" s="35"/>
      <c r="E17" s="35"/>
      <c r="F17" s="34"/>
      <c r="G17" s="14"/>
      <c r="H17" s="34"/>
      <c r="I17" s="35"/>
      <c r="J17" s="34"/>
      <c r="K17" s="17"/>
    </row>
    <row r="18" spans="2:20" ht="13.5" x14ac:dyDescent="0.25">
      <c r="B18" s="34"/>
      <c r="C18" s="35"/>
      <c r="D18" s="35"/>
      <c r="E18" s="35"/>
      <c r="F18" s="34"/>
      <c r="G18" s="14"/>
      <c r="H18" s="34"/>
      <c r="I18" s="35"/>
      <c r="J18" s="34"/>
      <c r="K18" s="17"/>
    </row>
    <row r="19" spans="2:20" ht="96.95" customHeight="1" x14ac:dyDescent="0.25">
      <c r="B19" s="34"/>
      <c r="C19" s="34"/>
      <c r="D19" s="34"/>
      <c r="E19" s="34"/>
      <c r="F19" s="34"/>
      <c r="G19" s="14"/>
      <c r="H19" s="34"/>
      <c r="I19" s="34"/>
      <c r="J19" s="34"/>
      <c r="K19" s="17"/>
    </row>
    <row r="20" spans="2:20" ht="15" customHeight="1" x14ac:dyDescent="0.25">
      <c r="B20" s="13"/>
      <c r="C20" s="13"/>
      <c r="D20" s="13"/>
      <c r="E20" s="13"/>
      <c r="F20" s="13"/>
      <c r="G20" s="13"/>
      <c r="H20" s="13"/>
      <c r="I20" s="13"/>
      <c r="J20" s="13"/>
      <c r="K20" s="13"/>
    </row>
    <row r="21" spans="2:20" ht="15" customHeight="1" x14ac:dyDescent="0.25">
      <c r="B21" s="44" t="s">
        <v>33</v>
      </c>
      <c r="C21" s="34"/>
      <c r="D21" s="34"/>
      <c r="E21" s="34"/>
      <c r="F21" s="34"/>
      <c r="G21" s="34"/>
      <c r="H21" s="34"/>
      <c r="I21" s="34"/>
      <c r="J21" s="34"/>
      <c r="K21" s="17"/>
    </row>
    <row r="22" spans="2:20" ht="5.25" customHeight="1" x14ac:dyDescent="0.25">
      <c r="B22" s="7"/>
      <c r="C22" s="7"/>
      <c r="D22" s="7"/>
      <c r="E22" s="7"/>
      <c r="F22" s="6"/>
      <c r="G22" s="6"/>
      <c r="H22" s="6"/>
      <c r="I22" s="7"/>
      <c r="J22" s="7"/>
      <c r="K22" s="7"/>
    </row>
    <row r="23" spans="2:20" ht="15" customHeight="1" x14ac:dyDescent="0.25">
      <c r="B23" s="45" t="s">
        <v>34</v>
      </c>
      <c r="C23" s="34"/>
      <c r="D23" s="34"/>
      <c r="E23" s="34"/>
      <c r="F23" s="34"/>
      <c r="G23" s="34"/>
      <c r="H23" s="34"/>
      <c r="I23" s="34"/>
      <c r="J23" s="34"/>
      <c r="K23" s="17"/>
      <c r="L23" s="19" t="s">
        <v>245</v>
      </c>
      <c r="M23" s="17"/>
      <c r="N23" s="17"/>
      <c r="O23" s="17"/>
      <c r="P23" s="17"/>
      <c r="Q23" s="17"/>
      <c r="R23" s="17"/>
      <c r="S23" s="17"/>
      <c r="T23" s="17"/>
    </row>
    <row r="24" spans="2:20" ht="5.25" customHeight="1" x14ac:dyDescent="0.25">
      <c r="B24" s="7"/>
      <c r="C24" s="7"/>
      <c r="D24" s="7"/>
      <c r="E24" s="7"/>
      <c r="F24" s="7"/>
      <c r="G24" s="7"/>
      <c r="H24" s="7"/>
      <c r="I24" s="7"/>
      <c r="J24" s="7"/>
      <c r="K24" s="7"/>
    </row>
    <row r="25" spans="2:20" ht="51" customHeight="1" x14ac:dyDescent="0.25">
      <c r="B25" s="16" t="s">
        <v>67</v>
      </c>
      <c r="C25" s="27" t="s">
        <v>79</v>
      </c>
      <c r="D25" s="28"/>
      <c r="E25" s="28"/>
      <c r="F25" s="28"/>
      <c r="G25" s="28"/>
      <c r="H25" s="29"/>
      <c r="I25" s="30" t="s">
        <v>80</v>
      </c>
      <c r="J25" s="46"/>
      <c r="L25" s="23" t="s">
        <v>246</v>
      </c>
    </row>
    <row r="26" spans="2:20" ht="51" customHeight="1" x14ac:dyDescent="0.25">
      <c r="B26" s="16" t="s">
        <v>67</v>
      </c>
      <c r="C26" s="27" t="s">
        <v>81</v>
      </c>
      <c r="D26" s="28"/>
      <c r="E26" s="28"/>
      <c r="F26" s="28"/>
      <c r="G26" s="28"/>
      <c r="H26" s="29"/>
      <c r="I26" s="30" t="s">
        <v>82</v>
      </c>
      <c r="J26" s="46"/>
      <c r="L26" s="23" t="s">
        <v>246</v>
      </c>
    </row>
    <row r="27" spans="2:20" ht="51" customHeight="1" x14ac:dyDescent="0.25">
      <c r="B27" s="16" t="s">
        <v>67</v>
      </c>
      <c r="C27" s="27" t="s">
        <v>83</v>
      </c>
      <c r="D27" s="28"/>
      <c r="E27" s="28"/>
      <c r="F27" s="28"/>
      <c r="G27" s="28"/>
      <c r="H27" s="29"/>
      <c r="I27" s="30" t="s">
        <v>84</v>
      </c>
      <c r="J27" s="46"/>
      <c r="L27" s="23" t="s">
        <v>246</v>
      </c>
    </row>
    <row r="28" spans="2:20" ht="51" customHeight="1" x14ac:dyDescent="0.25">
      <c r="B28" s="16" t="s">
        <v>68</v>
      </c>
      <c r="C28" s="27" t="s">
        <v>73</v>
      </c>
      <c r="D28" s="28"/>
      <c r="E28" s="28"/>
      <c r="F28" s="28"/>
      <c r="G28" s="28"/>
      <c r="H28" s="29"/>
      <c r="I28" s="30" t="s">
        <v>74</v>
      </c>
      <c r="J28" s="46"/>
      <c r="L28" s="23" t="s">
        <v>246</v>
      </c>
    </row>
    <row r="29" spans="2:20" ht="51" customHeight="1" x14ac:dyDescent="0.25">
      <c r="B29" s="16" t="s">
        <v>68</v>
      </c>
      <c r="C29" s="27" t="s">
        <v>75</v>
      </c>
      <c r="D29" s="28"/>
      <c r="E29" s="28"/>
      <c r="F29" s="28"/>
      <c r="G29" s="28"/>
      <c r="H29" s="29"/>
      <c r="I29" s="30" t="s">
        <v>76</v>
      </c>
      <c r="J29" s="46"/>
      <c r="L29" s="23" t="s">
        <v>246</v>
      </c>
    </row>
    <row r="30" spans="2:20" ht="51" customHeight="1" x14ac:dyDescent="0.25">
      <c r="B30" s="16" t="s">
        <v>68</v>
      </c>
      <c r="C30" s="27" t="s">
        <v>77</v>
      </c>
      <c r="D30" s="28"/>
      <c r="E30" s="28"/>
      <c r="F30" s="28"/>
      <c r="G30" s="28"/>
      <c r="H30" s="29"/>
      <c r="I30" s="30" t="s">
        <v>78</v>
      </c>
      <c r="J30" s="46"/>
      <c r="L30" s="23" t="s">
        <v>246</v>
      </c>
    </row>
    <row r="31" spans="2:20" ht="66" customHeight="1" x14ac:dyDescent="0.25">
      <c r="B31" s="16" t="s">
        <v>85</v>
      </c>
      <c r="C31" s="27" t="s">
        <v>88</v>
      </c>
      <c r="D31" s="28"/>
      <c r="E31" s="28"/>
      <c r="F31" s="28"/>
      <c r="G31" s="28"/>
      <c r="H31" s="29"/>
      <c r="I31" s="30"/>
      <c r="J31" s="31"/>
      <c r="L31" s="23" t="s">
        <v>246</v>
      </c>
    </row>
    <row r="32" spans="2:20" ht="69.95" customHeight="1" x14ac:dyDescent="0.25">
      <c r="B32" s="16" t="s">
        <v>86</v>
      </c>
      <c r="C32" s="27" t="s">
        <v>89</v>
      </c>
      <c r="D32" s="28"/>
      <c r="E32" s="28"/>
      <c r="F32" s="28"/>
      <c r="G32" s="28"/>
      <c r="H32" s="29"/>
      <c r="I32" s="30"/>
      <c r="J32" s="31"/>
      <c r="L32" s="23" t="s">
        <v>246</v>
      </c>
    </row>
    <row r="33" spans="2:12" ht="51" customHeight="1" x14ac:dyDescent="0.25">
      <c r="B33" s="16" t="s">
        <v>87</v>
      </c>
      <c r="C33" s="27" t="s">
        <v>90</v>
      </c>
      <c r="D33" s="28"/>
      <c r="E33" s="28"/>
      <c r="F33" s="28"/>
      <c r="G33" s="28"/>
      <c r="H33" s="29"/>
      <c r="I33" s="30"/>
      <c r="J33" s="31"/>
      <c r="L33" s="23" t="s">
        <v>246</v>
      </c>
    </row>
    <row r="34" spans="2:12" ht="51" customHeight="1" x14ac:dyDescent="0.25">
      <c r="B34" s="16" t="s">
        <v>69</v>
      </c>
      <c r="C34" s="27" t="s">
        <v>91</v>
      </c>
      <c r="D34" s="28"/>
      <c r="E34" s="28"/>
      <c r="F34" s="28"/>
      <c r="G34" s="28"/>
      <c r="H34" s="29"/>
      <c r="I34" s="30"/>
      <c r="J34" s="31"/>
      <c r="L34" s="23" t="s">
        <v>246</v>
      </c>
    </row>
    <row r="35" spans="2:12" ht="51" customHeight="1" x14ac:dyDescent="0.25">
      <c r="B35" s="16" t="s">
        <v>70</v>
      </c>
      <c r="C35" s="27" t="s">
        <v>92</v>
      </c>
      <c r="D35" s="32"/>
      <c r="E35" s="32"/>
      <c r="F35" s="32"/>
      <c r="G35" s="32"/>
      <c r="H35" s="31"/>
      <c r="I35" s="27" t="s">
        <v>93</v>
      </c>
      <c r="J35" s="31"/>
      <c r="L35" s="23" t="s">
        <v>246</v>
      </c>
    </row>
    <row r="36" spans="2:12" ht="51" customHeight="1" x14ac:dyDescent="0.25">
      <c r="B36" s="16" t="s">
        <v>70</v>
      </c>
      <c r="C36" s="27" t="s">
        <v>94</v>
      </c>
      <c r="D36" s="32"/>
      <c r="E36" s="32"/>
      <c r="F36" s="32"/>
      <c r="G36" s="32"/>
      <c r="H36" s="31"/>
      <c r="I36" s="27" t="s">
        <v>95</v>
      </c>
      <c r="J36" s="31"/>
      <c r="K36" s="21"/>
      <c r="L36" s="23" t="s">
        <v>246</v>
      </c>
    </row>
    <row r="37" spans="2:12" ht="51" customHeight="1" x14ac:dyDescent="0.25">
      <c r="B37" s="16" t="s">
        <v>70</v>
      </c>
      <c r="C37" s="27" t="s">
        <v>96</v>
      </c>
      <c r="D37" s="28"/>
      <c r="E37" s="28"/>
      <c r="F37" s="28"/>
      <c r="G37" s="28"/>
      <c r="H37" s="29"/>
      <c r="I37" s="27" t="s">
        <v>97</v>
      </c>
      <c r="J37" s="31"/>
      <c r="K37" s="21"/>
      <c r="L37" s="23" t="s">
        <v>246</v>
      </c>
    </row>
    <row r="38" spans="2:12" ht="51" customHeight="1" x14ac:dyDescent="0.25">
      <c r="B38" s="16" t="s">
        <v>70</v>
      </c>
      <c r="C38" s="27" t="s">
        <v>98</v>
      </c>
      <c r="D38" s="32"/>
      <c r="E38" s="32"/>
      <c r="F38" s="32"/>
      <c r="G38" s="32"/>
      <c r="H38" s="31"/>
      <c r="I38" s="27"/>
      <c r="J38" s="31"/>
      <c r="K38" s="21"/>
      <c r="L38" s="23" t="s">
        <v>246</v>
      </c>
    </row>
    <row r="39" spans="2:12" ht="51.6" customHeight="1" x14ac:dyDescent="0.25">
      <c r="B39" s="16" t="s">
        <v>71</v>
      </c>
      <c r="C39" s="27" t="s">
        <v>99</v>
      </c>
      <c r="D39" s="32"/>
      <c r="E39" s="32"/>
      <c r="F39" s="32"/>
      <c r="G39" s="32"/>
      <c r="H39" s="31"/>
      <c r="I39" s="30" t="s">
        <v>100</v>
      </c>
      <c r="J39" s="31"/>
      <c r="K39" s="21"/>
      <c r="L39" s="23" t="s">
        <v>246</v>
      </c>
    </row>
    <row r="40" spans="2:12" ht="51" customHeight="1" x14ac:dyDescent="0.25">
      <c r="B40" s="16" t="s">
        <v>71</v>
      </c>
      <c r="C40" s="30" t="s">
        <v>101</v>
      </c>
      <c r="D40" s="32"/>
      <c r="E40" s="32"/>
      <c r="F40" s="32"/>
      <c r="G40" s="32"/>
      <c r="H40" s="31"/>
      <c r="I40" s="30"/>
      <c r="J40" s="31"/>
      <c r="K40" s="21"/>
      <c r="L40" s="23" t="s">
        <v>246</v>
      </c>
    </row>
  </sheetData>
  <mergeCells count="41">
    <mergeCell ref="B15:F19"/>
    <mergeCell ref="H15:J19"/>
    <mergeCell ref="B1:J3"/>
    <mergeCell ref="B5:J5"/>
    <mergeCell ref="B11:J11"/>
    <mergeCell ref="B12:J12"/>
    <mergeCell ref="B14:D14"/>
    <mergeCell ref="B21:J21"/>
    <mergeCell ref="B23:J23"/>
    <mergeCell ref="C25:H25"/>
    <mergeCell ref="I25:J25"/>
    <mergeCell ref="C28:H28"/>
    <mergeCell ref="I28:J28"/>
    <mergeCell ref="C26:H26"/>
    <mergeCell ref="C27:H27"/>
    <mergeCell ref="I26:J26"/>
    <mergeCell ref="I27:J27"/>
    <mergeCell ref="C40:H40"/>
    <mergeCell ref="I40:J40"/>
    <mergeCell ref="C31:H31"/>
    <mergeCell ref="I31:J31"/>
    <mergeCell ref="C35:H35"/>
    <mergeCell ref="I35:J35"/>
    <mergeCell ref="C39:H39"/>
    <mergeCell ref="I39:J39"/>
    <mergeCell ref="C33:H33"/>
    <mergeCell ref="I33:J33"/>
    <mergeCell ref="C34:H34"/>
    <mergeCell ref="I34:J34"/>
    <mergeCell ref="C36:H36"/>
    <mergeCell ref="I36:J36"/>
    <mergeCell ref="C37:H37"/>
    <mergeCell ref="I37:J37"/>
    <mergeCell ref="C38:H38"/>
    <mergeCell ref="I38:J38"/>
    <mergeCell ref="C29:H29"/>
    <mergeCell ref="I29:J29"/>
    <mergeCell ref="C30:H30"/>
    <mergeCell ref="I30:J30"/>
    <mergeCell ref="C32:H32"/>
    <mergeCell ref="I32:J32"/>
  </mergeCells>
  <conditionalFormatting sqref="L1:L1048576">
    <cfRule type="cellIs" dxfId="34" priority="5" operator="equal">
      <formula>"A faire"</formula>
    </cfRule>
  </conditionalFormatting>
  <conditionalFormatting sqref="L25:L40">
    <cfRule type="cellIs" dxfId="33" priority="1" operator="equal">
      <formula>"Bloquée"</formula>
    </cfRule>
    <cfRule type="cellIs" dxfId="32" priority="2" operator="equal">
      <formula>"Finalisée"</formula>
    </cfRule>
    <cfRule type="cellIs" dxfId="31" priority="3" operator="equal">
      <formula>"En attente"</formula>
    </cfRule>
    <cfRule type="cellIs" dxfId="30" priority="4"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9F82414D-8994-4B35-97A2-284C1776A4BC}">
          <x14:formula1>
            <xm:f>Données!$B$3:$B$7</xm:f>
          </x14:formula1>
          <xm:sqref>L25:L40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1FAA09-724A-4A65-A7F2-047A1BB89359}">
  <sheetPr>
    <tabColor rgb="FF00B0F0"/>
    <pageSetUpPr fitToPage="1"/>
  </sheetPr>
  <dimension ref="B1:L36"/>
  <sheetViews>
    <sheetView showGridLines="0" topLeftCell="A19" zoomScaleNormal="100" workbookViewId="0">
      <selection activeCell="I27" sqref="I27:J27"/>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0" width="10" style="4" customWidth="1"/>
    <col min="31" max="16384" width="12.5703125" style="4"/>
  </cols>
  <sheetData>
    <row r="1" spans="2:11" ht="15" customHeight="1" x14ac:dyDescent="0.25">
      <c r="B1" s="33" t="s">
        <v>60</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112.5" customHeight="1" x14ac:dyDescent="0.25">
      <c r="B12" s="40" t="s">
        <v>138</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139</v>
      </c>
      <c r="C15" s="41"/>
      <c r="D15" s="41"/>
      <c r="E15" s="41"/>
      <c r="F15" s="41"/>
      <c r="G15" s="14"/>
      <c r="H15" s="40" t="s">
        <v>140</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162.94999999999999"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26.45" customHeight="1" x14ac:dyDescent="0.25">
      <c r="B25" s="16" t="s">
        <v>141</v>
      </c>
      <c r="C25" s="27" t="s">
        <v>259</v>
      </c>
      <c r="D25" s="47"/>
      <c r="E25" s="47"/>
      <c r="F25" s="47"/>
      <c r="G25" s="47"/>
      <c r="H25" s="46"/>
      <c r="I25" s="30"/>
      <c r="J25" s="31"/>
      <c r="L25" s="23" t="s">
        <v>246</v>
      </c>
    </row>
    <row r="26" spans="2:12" ht="26.45" customHeight="1" x14ac:dyDescent="0.25">
      <c r="B26" s="16" t="s">
        <v>141</v>
      </c>
      <c r="C26" s="27" t="s">
        <v>260</v>
      </c>
      <c r="D26" s="47"/>
      <c r="E26" s="47"/>
      <c r="F26" s="47"/>
      <c r="G26" s="47"/>
      <c r="H26" s="46"/>
      <c r="I26" s="30"/>
      <c r="J26" s="31"/>
      <c r="L26" s="23" t="s">
        <v>246</v>
      </c>
    </row>
    <row r="27" spans="2:12" ht="26.45" customHeight="1" x14ac:dyDescent="0.25">
      <c r="B27" s="16" t="s">
        <v>141</v>
      </c>
      <c r="C27" s="27" t="s">
        <v>261</v>
      </c>
      <c r="D27" s="47"/>
      <c r="E27" s="47"/>
      <c r="F27" s="47"/>
      <c r="G27" s="47"/>
      <c r="H27" s="46"/>
      <c r="I27" s="30"/>
      <c r="J27" s="31"/>
      <c r="L27" s="23" t="s">
        <v>246</v>
      </c>
    </row>
    <row r="28" spans="2:12" ht="26.45" customHeight="1" x14ac:dyDescent="0.25">
      <c r="B28" s="16" t="s">
        <v>141</v>
      </c>
      <c r="C28" s="27" t="s">
        <v>262</v>
      </c>
      <c r="D28" s="47"/>
      <c r="E28" s="47"/>
      <c r="F28" s="47"/>
      <c r="G28" s="47"/>
      <c r="H28" s="46"/>
      <c r="I28" s="30"/>
      <c r="J28" s="31"/>
      <c r="L28" s="23" t="s">
        <v>246</v>
      </c>
    </row>
    <row r="29" spans="2:12" ht="26.45" customHeight="1" x14ac:dyDescent="0.25">
      <c r="B29" s="16" t="s">
        <v>141</v>
      </c>
      <c r="C29" s="27" t="s">
        <v>263</v>
      </c>
      <c r="D29" s="47"/>
      <c r="E29" s="47"/>
      <c r="F29" s="47"/>
      <c r="G29" s="47"/>
      <c r="H29" s="46"/>
      <c r="I29" s="30"/>
      <c r="J29" s="31"/>
      <c r="L29" s="23" t="s">
        <v>246</v>
      </c>
    </row>
    <row r="30" spans="2:12" ht="33.6" customHeight="1" x14ac:dyDescent="0.25">
      <c r="B30" s="16" t="s">
        <v>142</v>
      </c>
      <c r="C30" s="27" t="s">
        <v>264</v>
      </c>
      <c r="D30" s="47"/>
      <c r="E30" s="47"/>
      <c r="F30" s="47"/>
      <c r="G30" s="47"/>
      <c r="H30" s="46"/>
      <c r="I30" s="30"/>
      <c r="J30" s="31"/>
      <c r="L30" s="23" t="s">
        <v>246</v>
      </c>
    </row>
    <row r="31" spans="2:12" ht="26.45" customHeight="1" x14ac:dyDescent="0.25">
      <c r="B31" s="16" t="s">
        <v>142</v>
      </c>
      <c r="C31" s="27" t="s">
        <v>276</v>
      </c>
      <c r="D31" s="47"/>
      <c r="E31" s="47"/>
      <c r="F31" s="47"/>
      <c r="G31" s="47"/>
      <c r="H31" s="46"/>
      <c r="I31" s="30"/>
      <c r="J31" s="31"/>
      <c r="L31" s="23" t="s">
        <v>246</v>
      </c>
    </row>
    <row r="32" spans="2:12" ht="26.45" customHeight="1" x14ac:dyDescent="0.25">
      <c r="B32" s="16" t="s">
        <v>142</v>
      </c>
      <c r="C32" s="27" t="s">
        <v>265</v>
      </c>
      <c r="D32" s="47"/>
      <c r="E32" s="47"/>
      <c r="F32" s="47"/>
      <c r="G32" s="47"/>
      <c r="H32" s="46"/>
      <c r="I32" s="30"/>
      <c r="J32" s="31"/>
      <c r="L32" s="23" t="s">
        <v>246</v>
      </c>
    </row>
    <row r="33" spans="2:12" ht="26.45" customHeight="1" x14ac:dyDescent="0.25">
      <c r="B33" s="16" t="s">
        <v>142</v>
      </c>
      <c r="C33" s="27" t="s">
        <v>266</v>
      </c>
      <c r="D33" s="47"/>
      <c r="E33" s="47"/>
      <c r="F33" s="47"/>
      <c r="G33" s="47"/>
      <c r="H33" s="46"/>
      <c r="I33" s="30"/>
      <c r="J33" s="31"/>
      <c r="L33" s="23" t="s">
        <v>246</v>
      </c>
    </row>
    <row r="34" spans="2:12" ht="26.45" customHeight="1" x14ac:dyDescent="0.25">
      <c r="B34" s="16" t="s">
        <v>142</v>
      </c>
      <c r="C34" s="27" t="s">
        <v>267</v>
      </c>
      <c r="D34" s="47"/>
      <c r="E34" s="47"/>
      <c r="F34" s="47"/>
      <c r="G34" s="47"/>
      <c r="H34" s="46"/>
      <c r="I34" s="30" t="s">
        <v>143</v>
      </c>
      <c r="J34" s="31"/>
      <c r="L34" s="23" t="s">
        <v>246</v>
      </c>
    </row>
    <row r="35" spans="2:12" ht="81.95" customHeight="1" x14ac:dyDescent="0.25">
      <c r="B35" s="16" t="s">
        <v>144</v>
      </c>
      <c r="C35" s="27" t="s">
        <v>145</v>
      </c>
      <c r="D35" s="28"/>
      <c r="E35" s="28"/>
      <c r="F35" s="28"/>
      <c r="G35" s="28"/>
      <c r="H35" s="29"/>
      <c r="I35" s="30"/>
      <c r="J35" s="31"/>
      <c r="L35" s="23" t="s">
        <v>246</v>
      </c>
    </row>
    <row r="36" spans="2:12" ht="78.95" customHeight="1" x14ac:dyDescent="0.25">
      <c r="B36" s="16" t="s">
        <v>146</v>
      </c>
      <c r="C36" s="27" t="s">
        <v>147</v>
      </c>
      <c r="D36" s="32"/>
      <c r="E36" s="32"/>
      <c r="F36" s="32"/>
      <c r="G36" s="32"/>
      <c r="H36" s="31"/>
      <c r="I36" s="27" t="s">
        <v>148</v>
      </c>
      <c r="J36" s="31"/>
      <c r="L36" s="23" t="s">
        <v>249</v>
      </c>
    </row>
  </sheetData>
  <mergeCells count="33">
    <mergeCell ref="B15:F19"/>
    <mergeCell ref="H15:J19"/>
    <mergeCell ref="B1:J3"/>
    <mergeCell ref="B5:J5"/>
    <mergeCell ref="B11:J11"/>
    <mergeCell ref="B12:J12"/>
    <mergeCell ref="B14:D14"/>
    <mergeCell ref="C35:H35"/>
    <mergeCell ref="I35:J35"/>
    <mergeCell ref="C36:H36"/>
    <mergeCell ref="I36:J36"/>
    <mergeCell ref="B21:J21"/>
    <mergeCell ref="B23:J23"/>
    <mergeCell ref="C25:H25"/>
    <mergeCell ref="I25:J25"/>
    <mergeCell ref="C26:H26"/>
    <mergeCell ref="I26:J26"/>
    <mergeCell ref="C30:H30"/>
    <mergeCell ref="I30:J30"/>
    <mergeCell ref="C31:H31"/>
    <mergeCell ref="I31:J31"/>
    <mergeCell ref="C27:H27"/>
    <mergeCell ref="I27:J27"/>
    <mergeCell ref="C33:H33"/>
    <mergeCell ref="I33:J33"/>
    <mergeCell ref="C34:H34"/>
    <mergeCell ref="I34:J34"/>
    <mergeCell ref="C28:H28"/>
    <mergeCell ref="I28:J28"/>
    <mergeCell ref="C29:H29"/>
    <mergeCell ref="I29:J29"/>
    <mergeCell ref="C32:H32"/>
    <mergeCell ref="I32:J32"/>
  </mergeCells>
  <phoneticPr fontId="19" type="noConversion"/>
  <conditionalFormatting sqref="L1:L1048576">
    <cfRule type="cellIs" dxfId="29" priority="5" operator="equal">
      <formula>"A faire"</formula>
    </cfRule>
  </conditionalFormatting>
  <conditionalFormatting sqref="L25:L36">
    <cfRule type="cellIs" dxfId="28" priority="1" operator="equal">
      <formula>"Bloquée"</formula>
    </cfRule>
    <cfRule type="cellIs" dxfId="27" priority="2" operator="equal">
      <formula>"Finalisée"</formula>
    </cfRule>
    <cfRule type="cellIs" dxfId="26" priority="3" operator="equal">
      <formula>"En attente"</formula>
    </cfRule>
    <cfRule type="cellIs" dxfId="25" priority="4"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3D5A852-3590-4DF9-9DD6-48A90E4A013B}">
          <x14:formula1>
            <xm:f>Données!$B$3:$B$7</xm:f>
          </x14:formula1>
          <xm:sqref>L25:L36</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D6F1E-7AB7-4FD6-815E-06ED5EF86BBA}">
  <sheetPr>
    <tabColor rgb="FF00B0F0"/>
    <pageSetUpPr fitToPage="1"/>
  </sheetPr>
  <dimension ref="B1:L35"/>
  <sheetViews>
    <sheetView showGridLines="0" topLeftCell="A23" zoomScaleNormal="100" workbookViewId="0">
      <selection activeCell="M36" sqref="M36"/>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0" width="10" style="4" customWidth="1"/>
    <col min="31" max="16384" width="12.5703125" style="4"/>
  </cols>
  <sheetData>
    <row r="1" spans="2:11" ht="15" customHeight="1" x14ac:dyDescent="0.25">
      <c r="B1" s="33" t="s">
        <v>59</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131.44999999999999" customHeight="1" x14ac:dyDescent="0.25">
      <c r="B12" s="40" t="s">
        <v>125</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123</v>
      </c>
      <c r="C15" s="41"/>
      <c r="D15" s="41"/>
      <c r="E15" s="41"/>
      <c r="F15" s="41"/>
      <c r="G15" s="14"/>
      <c r="H15" s="40" t="s">
        <v>124</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137.1"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51" customHeight="1" x14ac:dyDescent="0.25">
      <c r="B25" s="16" t="s">
        <v>126</v>
      </c>
      <c r="C25" s="27" t="s">
        <v>258</v>
      </c>
      <c r="D25" s="32"/>
      <c r="E25" s="32"/>
      <c r="F25" s="32"/>
      <c r="G25" s="32"/>
      <c r="H25" s="31"/>
      <c r="I25" s="30"/>
      <c r="J25" s="31"/>
      <c r="L25" s="23" t="s">
        <v>246</v>
      </c>
    </row>
    <row r="26" spans="2:12" ht="26.45" customHeight="1" x14ac:dyDescent="0.25">
      <c r="B26" s="16" t="s">
        <v>127</v>
      </c>
      <c r="C26" s="27" t="s">
        <v>252</v>
      </c>
      <c r="D26" s="47"/>
      <c r="E26" s="47"/>
      <c r="F26" s="47"/>
      <c r="G26" s="47"/>
      <c r="H26" s="46"/>
      <c r="I26" s="30"/>
      <c r="J26" s="31"/>
      <c r="L26" s="23" t="s">
        <v>246</v>
      </c>
    </row>
    <row r="27" spans="2:12" ht="26.45" customHeight="1" x14ac:dyDescent="0.25">
      <c r="B27" s="16" t="s">
        <v>127</v>
      </c>
      <c r="C27" s="27" t="s">
        <v>253</v>
      </c>
      <c r="D27" s="47"/>
      <c r="E27" s="47"/>
      <c r="F27" s="47"/>
      <c r="G27" s="47"/>
      <c r="H27" s="46"/>
      <c r="I27" s="30"/>
      <c r="J27" s="31"/>
      <c r="L27" s="23" t="s">
        <v>246</v>
      </c>
    </row>
    <row r="28" spans="2:12" ht="26.45" customHeight="1" x14ac:dyDescent="0.25">
      <c r="B28" s="16" t="s">
        <v>127</v>
      </c>
      <c r="C28" s="27" t="s">
        <v>254</v>
      </c>
      <c r="D28" s="47"/>
      <c r="E28" s="47"/>
      <c r="F28" s="47"/>
      <c r="G28" s="47"/>
      <c r="H28" s="46"/>
      <c r="I28" s="30"/>
      <c r="J28" s="31"/>
      <c r="L28" s="23" t="s">
        <v>246</v>
      </c>
    </row>
    <row r="29" spans="2:12" ht="26.45" customHeight="1" x14ac:dyDescent="0.25">
      <c r="B29" s="16" t="s">
        <v>127</v>
      </c>
      <c r="C29" s="27" t="s">
        <v>255</v>
      </c>
      <c r="D29" s="47"/>
      <c r="E29" s="47"/>
      <c r="F29" s="47"/>
      <c r="G29" s="47"/>
      <c r="H29" s="46"/>
      <c r="I29" s="30"/>
      <c r="J29" s="31"/>
      <c r="L29" s="23" t="s">
        <v>246</v>
      </c>
    </row>
    <row r="30" spans="2:12" ht="26.45" customHeight="1" x14ac:dyDescent="0.25">
      <c r="B30" s="16" t="s">
        <v>127</v>
      </c>
      <c r="C30" s="27" t="s">
        <v>256</v>
      </c>
      <c r="D30" s="47"/>
      <c r="E30" s="47"/>
      <c r="F30" s="47"/>
      <c r="G30" s="47"/>
      <c r="H30" s="46"/>
      <c r="I30" s="30"/>
      <c r="J30" s="31"/>
      <c r="L30" s="23" t="s">
        <v>246</v>
      </c>
    </row>
    <row r="31" spans="2:12" ht="26.45" customHeight="1" x14ac:dyDescent="0.25">
      <c r="B31" s="16" t="s">
        <v>127</v>
      </c>
      <c r="C31" s="27" t="s">
        <v>257</v>
      </c>
      <c r="D31" s="47"/>
      <c r="E31" s="47"/>
      <c r="F31" s="47"/>
      <c r="G31" s="47"/>
      <c r="H31" s="46"/>
      <c r="I31" s="30" t="s">
        <v>128</v>
      </c>
      <c r="J31" s="31"/>
      <c r="L31" s="23" t="s">
        <v>246</v>
      </c>
    </row>
    <row r="32" spans="2:12" ht="51" customHeight="1" x14ac:dyDescent="0.25">
      <c r="B32" s="16" t="s">
        <v>129</v>
      </c>
      <c r="C32" s="27" t="s">
        <v>130</v>
      </c>
      <c r="D32" s="28"/>
      <c r="E32" s="28"/>
      <c r="F32" s="28"/>
      <c r="G32" s="28"/>
      <c r="H32" s="29"/>
      <c r="I32" s="30" t="s">
        <v>131</v>
      </c>
      <c r="J32" s="31"/>
      <c r="L32" s="23" t="s">
        <v>246</v>
      </c>
    </row>
    <row r="33" spans="2:12" ht="79.5" customHeight="1" x14ac:dyDescent="0.25">
      <c r="B33" s="16" t="s">
        <v>133</v>
      </c>
      <c r="C33" s="27" t="s">
        <v>270</v>
      </c>
      <c r="D33" s="32"/>
      <c r="E33" s="32"/>
      <c r="F33" s="32"/>
      <c r="G33" s="32"/>
      <c r="H33" s="31"/>
      <c r="I33" s="27" t="s">
        <v>132</v>
      </c>
      <c r="J33" s="31"/>
      <c r="L33" s="23" t="s">
        <v>246</v>
      </c>
    </row>
    <row r="34" spans="2:12" ht="76.349999999999994" customHeight="1" x14ac:dyDescent="0.25">
      <c r="B34" s="16" t="s">
        <v>134</v>
      </c>
      <c r="C34" s="27" t="s">
        <v>135</v>
      </c>
      <c r="D34" s="32"/>
      <c r="E34" s="32"/>
      <c r="F34" s="32"/>
      <c r="G34" s="32"/>
      <c r="H34" s="31"/>
      <c r="I34" s="30" t="s">
        <v>275</v>
      </c>
      <c r="J34" s="31"/>
      <c r="L34" s="23" t="s">
        <v>246</v>
      </c>
    </row>
    <row r="35" spans="2:12" ht="51" customHeight="1" x14ac:dyDescent="0.25">
      <c r="B35" s="16" t="s">
        <v>136</v>
      </c>
      <c r="C35" s="27" t="s">
        <v>137</v>
      </c>
      <c r="D35" s="32"/>
      <c r="E35" s="32"/>
      <c r="F35" s="32"/>
      <c r="G35" s="32"/>
      <c r="H35" s="31"/>
      <c r="I35" s="30"/>
      <c r="J35" s="31"/>
      <c r="L35" s="23" t="s">
        <v>246</v>
      </c>
    </row>
  </sheetData>
  <mergeCells count="31">
    <mergeCell ref="B15:F19"/>
    <mergeCell ref="H15:J19"/>
    <mergeCell ref="B1:J3"/>
    <mergeCell ref="B5:J5"/>
    <mergeCell ref="B11:J11"/>
    <mergeCell ref="B12:J12"/>
    <mergeCell ref="B14:D14"/>
    <mergeCell ref="B21:J21"/>
    <mergeCell ref="B23:J23"/>
    <mergeCell ref="C25:H25"/>
    <mergeCell ref="I25:J25"/>
    <mergeCell ref="C26:H26"/>
    <mergeCell ref="I26:J26"/>
    <mergeCell ref="C35:H35"/>
    <mergeCell ref="I35:J35"/>
    <mergeCell ref="C32:H32"/>
    <mergeCell ref="I32:J32"/>
    <mergeCell ref="C33:H33"/>
    <mergeCell ref="I33:J33"/>
    <mergeCell ref="C34:H34"/>
    <mergeCell ref="I34:J34"/>
    <mergeCell ref="C27:H27"/>
    <mergeCell ref="C28:H28"/>
    <mergeCell ref="C29:H29"/>
    <mergeCell ref="C30:H30"/>
    <mergeCell ref="C31:H31"/>
    <mergeCell ref="I27:J27"/>
    <mergeCell ref="I28:J28"/>
    <mergeCell ref="I29:J29"/>
    <mergeCell ref="I30:J30"/>
    <mergeCell ref="I31:J31"/>
  </mergeCells>
  <conditionalFormatting sqref="L1:L1048576">
    <cfRule type="cellIs" dxfId="24" priority="5" operator="equal">
      <formula>"A faire"</formula>
    </cfRule>
  </conditionalFormatting>
  <conditionalFormatting sqref="L25:L35">
    <cfRule type="cellIs" dxfId="23" priority="1" operator="equal">
      <formula>"Bloquée"</formula>
    </cfRule>
    <cfRule type="cellIs" dxfId="22" priority="2" operator="equal">
      <formula>"Finalisée"</formula>
    </cfRule>
    <cfRule type="cellIs" dxfId="21" priority="3" operator="equal">
      <formula>"En attente"</formula>
    </cfRule>
    <cfRule type="cellIs" dxfId="20" priority="4"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19873FF3-0316-4711-B447-B6871B127060}">
          <x14:formula1>
            <xm:f>Données!$B$3:$B$7</xm:f>
          </x14:formula1>
          <xm:sqref>L25:L35</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8C4BF-EAAE-471E-A990-8FDCE8CEC7FA}">
  <sheetPr>
    <tabColor rgb="FF00B0F0"/>
    <pageSetUpPr fitToPage="1"/>
  </sheetPr>
  <dimension ref="B1:L30"/>
  <sheetViews>
    <sheetView showGridLines="0" topLeftCell="A19" zoomScaleNormal="100" workbookViewId="0">
      <selection activeCell="C29" sqref="C29:H29"/>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0" width="10" style="4" customWidth="1"/>
    <col min="31" max="16384" width="12.5703125" style="4"/>
  </cols>
  <sheetData>
    <row r="1" spans="2:11" ht="15" customHeight="1" x14ac:dyDescent="0.25">
      <c r="B1" s="33" t="s">
        <v>61</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99.95" customHeight="1" x14ac:dyDescent="0.25">
      <c r="B12" s="40" t="s">
        <v>220</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221</v>
      </c>
      <c r="C15" s="41"/>
      <c r="D15" s="41"/>
      <c r="E15" s="41"/>
      <c r="F15" s="41"/>
      <c r="G15" s="14"/>
      <c r="H15" s="40" t="s">
        <v>273</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66"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51" customHeight="1" x14ac:dyDescent="0.25">
      <c r="B25" s="16" t="s">
        <v>202</v>
      </c>
      <c r="C25" s="27" t="s">
        <v>203</v>
      </c>
      <c r="D25" s="32"/>
      <c r="E25" s="32"/>
      <c r="F25" s="32"/>
      <c r="G25" s="32"/>
      <c r="H25" s="31"/>
      <c r="I25" s="30" t="s">
        <v>204</v>
      </c>
      <c r="J25" s="31"/>
      <c r="L25" s="23" t="s">
        <v>246</v>
      </c>
    </row>
    <row r="26" spans="2:12" ht="51" customHeight="1" x14ac:dyDescent="0.25">
      <c r="B26" s="16" t="s">
        <v>205</v>
      </c>
      <c r="C26" s="27" t="s">
        <v>206</v>
      </c>
      <c r="D26" s="32"/>
      <c r="E26" s="32"/>
      <c r="F26" s="32"/>
      <c r="G26" s="32"/>
      <c r="H26" s="31"/>
      <c r="I26" s="30" t="s">
        <v>207</v>
      </c>
      <c r="J26" s="31"/>
      <c r="L26" s="23" t="s">
        <v>249</v>
      </c>
    </row>
    <row r="27" spans="2:12" ht="51" customHeight="1" x14ac:dyDescent="0.25">
      <c r="B27" s="16" t="s">
        <v>208</v>
      </c>
      <c r="C27" s="27" t="s">
        <v>209</v>
      </c>
      <c r="D27" s="28"/>
      <c r="E27" s="28"/>
      <c r="F27" s="28"/>
      <c r="G27" s="28"/>
      <c r="H27" s="29"/>
      <c r="I27" s="30" t="s">
        <v>210</v>
      </c>
      <c r="J27" s="31"/>
      <c r="L27" s="23" t="s">
        <v>249</v>
      </c>
    </row>
    <row r="28" spans="2:12" ht="51" customHeight="1" x14ac:dyDescent="0.25">
      <c r="B28" s="16" t="s">
        <v>211</v>
      </c>
      <c r="C28" s="27" t="s">
        <v>212</v>
      </c>
      <c r="D28" s="32"/>
      <c r="E28" s="32"/>
      <c r="F28" s="32"/>
      <c r="G28" s="32"/>
      <c r="H28" s="31"/>
      <c r="I28" s="27" t="s">
        <v>213</v>
      </c>
      <c r="J28" s="31"/>
      <c r="L28" s="23" t="s">
        <v>248</v>
      </c>
    </row>
    <row r="29" spans="2:12" ht="76.349999999999994" customHeight="1" x14ac:dyDescent="0.25">
      <c r="B29" s="16" t="s">
        <v>214</v>
      </c>
      <c r="C29" s="27" t="s">
        <v>215</v>
      </c>
      <c r="D29" s="32"/>
      <c r="E29" s="32"/>
      <c r="F29" s="32"/>
      <c r="G29" s="32"/>
      <c r="H29" s="31"/>
      <c r="I29" s="30" t="s">
        <v>216</v>
      </c>
      <c r="J29" s="31"/>
      <c r="L29" s="23" t="s">
        <v>249</v>
      </c>
    </row>
    <row r="30" spans="2:12" ht="51" customHeight="1" x14ac:dyDescent="0.25">
      <c r="B30" s="16" t="s">
        <v>217</v>
      </c>
      <c r="C30" s="27" t="s">
        <v>218</v>
      </c>
      <c r="D30" s="32"/>
      <c r="E30" s="32"/>
      <c r="F30" s="32"/>
      <c r="G30" s="32"/>
      <c r="H30" s="31"/>
      <c r="I30" s="30" t="s">
        <v>219</v>
      </c>
      <c r="J30" s="31"/>
      <c r="L30" s="23" t="s">
        <v>248</v>
      </c>
    </row>
  </sheetData>
  <mergeCells count="21">
    <mergeCell ref="B15:F19"/>
    <mergeCell ref="H15:J19"/>
    <mergeCell ref="B1:J3"/>
    <mergeCell ref="B5:J5"/>
    <mergeCell ref="B11:J11"/>
    <mergeCell ref="B12:J12"/>
    <mergeCell ref="B14:D14"/>
    <mergeCell ref="B21:J21"/>
    <mergeCell ref="B23:J23"/>
    <mergeCell ref="C25:H25"/>
    <mergeCell ref="I25:J25"/>
    <mergeCell ref="C26:H26"/>
    <mergeCell ref="I26:J26"/>
    <mergeCell ref="C30:H30"/>
    <mergeCell ref="I30:J30"/>
    <mergeCell ref="C27:H27"/>
    <mergeCell ref="I27:J27"/>
    <mergeCell ref="C28:H28"/>
    <mergeCell ref="I28:J28"/>
    <mergeCell ref="C29:H29"/>
    <mergeCell ref="I29:J29"/>
  </mergeCells>
  <conditionalFormatting sqref="L1:L30">
    <cfRule type="cellIs" dxfId="19" priority="10" operator="equal">
      <formula>"A faire"</formula>
    </cfRule>
  </conditionalFormatting>
  <conditionalFormatting sqref="L25:L30">
    <cfRule type="cellIs" dxfId="18" priority="6" operator="equal">
      <formula>"Bloquée"</formula>
    </cfRule>
    <cfRule type="cellIs" dxfId="17" priority="7" operator="equal">
      <formula>"Finalisée"</formula>
    </cfRule>
    <cfRule type="cellIs" dxfId="16" priority="8" operator="equal">
      <formula>"En attente"</formula>
    </cfRule>
    <cfRule type="cellIs" dxfId="15" priority="9"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0AF264AD-65DD-4E4F-A97C-528167E78B25}">
          <x14:formula1>
            <xm:f>Données!$B$3:$B$7</xm:f>
          </x14:formula1>
          <xm:sqref>L25:L30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693405-8A7F-44FC-8950-A757CE2A4E3C}">
  <sheetPr>
    <tabColor rgb="FF00B0F0"/>
    <pageSetUpPr fitToPage="1"/>
  </sheetPr>
  <dimension ref="B1:L31"/>
  <sheetViews>
    <sheetView showGridLines="0" topLeftCell="A18" zoomScaleNormal="100" workbookViewId="0">
      <selection activeCell="I31" sqref="I31:J31"/>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0" width="10" style="4" customWidth="1"/>
    <col min="31" max="16384" width="12.5703125" style="4"/>
  </cols>
  <sheetData>
    <row r="1" spans="2:11" ht="15" customHeight="1" x14ac:dyDescent="0.25">
      <c r="B1" s="33" t="s">
        <v>62</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140.44999999999999" customHeight="1" x14ac:dyDescent="0.25">
      <c r="B12" s="40" t="s">
        <v>222</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0" t="s">
        <v>223</v>
      </c>
      <c r="C15" s="41"/>
      <c r="D15" s="41"/>
      <c r="E15" s="41"/>
      <c r="F15" s="41"/>
      <c r="G15" s="14"/>
      <c r="H15" s="40" t="s">
        <v>224</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71.45"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51" customHeight="1" x14ac:dyDescent="0.25">
      <c r="B25" s="16" t="s">
        <v>225</v>
      </c>
      <c r="C25" s="27" t="s">
        <v>226</v>
      </c>
      <c r="D25" s="32"/>
      <c r="E25" s="32"/>
      <c r="F25" s="32"/>
      <c r="G25" s="32"/>
      <c r="H25" s="31"/>
      <c r="I25" s="30" t="s">
        <v>227</v>
      </c>
      <c r="J25" s="31"/>
      <c r="L25" s="23" t="s">
        <v>246</v>
      </c>
    </row>
    <row r="26" spans="2:12" ht="51" customHeight="1" x14ac:dyDescent="0.25">
      <c r="B26" s="16" t="s">
        <v>228</v>
      </c>
      <c r="C26" s="27" t="s">
        <v>229</v>
      </c>
      <c r="D26" s="32"/>
      <c r="E26" s="32"/>
      <c r="F26" s="32"/>
      <c r="G26" s="32"/>
      <c r="H26" s="31"/>
      <c r="I26" s="30" t="s">
        <v>230</v>
      </c>
      <c r="J26" s="31"/>
      <c r="L26" s="23" t="s">
        <v>246</v>
      </c>
    </row>
    <row r="27" spans="2:12" ht="51" customHeight="1" x14ac:dyDescent="0.25">
      <c r="B27" s="16" t="s">
        <v>231</v>
      </c>
      <c r="C27" s="27" t="s">
        <v>232</v>
      </c>
      <c r="D27" s="28"/>
      <c r="E27" s="28"/>
      <c r="F27" s="28"/>
      <c r="G27" s="28"/>
      <c r="H27" s="29"/>
      <c r="I27" s="30" t="s">
        <v>233</v>
      </c>
      <c r="J27" s="31"/>
      <c r="L27" s="23" t="s">
        <v>246</v>
      </c>
    </row>
    <row r="28" spans="2:12" ht="51" customHeight="1" x14ac:dyDescent="0.25">
      <c r="B28" s="16" t="s">
        <v>234</v>
      </c>
      <c r="C28" s="27" t="s">
        <v>235</v>
      </c>
      <c r="D28" s="32"/>
      <c r="E28" s="32"/>
      <c r="F28" s="32"/>
      <c r="G28" s="32"/>
      <c r="H28" s="31"/>
      <c r="I28" s="27" t="s">
        <v>277</v>
      </c>
      <c r="J28" s="31"/>
      <c r="L28" s="23" t="s">
        <v>246</v>
      </c>
    </row>
    <row r="29" spans="2:12" ht="76.349999999999994" customHeight="1" x14ac:dyDescent="0.25">
      <c r="B29" s="16" t="s">
        <v>236</v>
      </c>
      <c r="C29" s="27" t="s">
        <v>237</v>
      </c>
      <c r="D29" s="32"/>
      <c r="E29" s="32"/>
      <c r="F29" s="32"/>
      <c r="G29" s="32"/>
      <c r="H29" s="31"/>
      <c r="I29" s="30" t="s">
        <v>238</v>
      </c>
      <c r="J29" s="31"/>
      <c r="L29" s="23" t="s">
        <v>246</v>
      </c>
    </row>
    <row r="30" spans="2:12" ht="51" customHeight="1" x14ac:dyDescent="0.25">
      <c r="B30" s="16" t="s">
        <v>239</v>
      </c>
      <c r="C30" s="27" t="s">
        <v>240</v>
      </c>
      <c r="D30" s="32"/>
      <c r="E30" s="32"/>
      <c r="F30" s="32"/>
      <c r="G30" s="32"/>
      <c r="H30" s="31"/>
      <c r="I30" s="30" t="s">
        <v>241</v>
      </c>
      <c r="J30" s="31"/>
      <c r="L30" s="23" t="s">
        <v>246</v>
      </c>
    </row>
    <row r="31" spans="2:12" ht="51" customHeight="1" x14ac:dyDescent="0.25">
      <c r="B31" s="16" t="s">
        <v>242</v>
      </c>
      <c r="C31" s="27" t="s">
        <v>243</v>
      </c>
      <c r="D31" s="32"/>
      <c r="E31" s="32"/>
      <c r="F31" s="32"/>
      <c r="G31" s="32"/>
      <c r="H31" s="31"/>
      <c r="I31" s="30" t="s">
        <v>244</v>
      </c>
      <c r="J31" s="31"/>
      <c r="L31" s="23" t="s">
        <v>246</v>
      </c>
    </row>
  </sheetData>
  <mergeCells count="23">
    <mergeCell ref="B15:F19"/>
    <mergeCell ref="H15:J19"/>
    <mergeCell ref="B1:J3"/>
    <mergeCell ref="B5:J5"/>
    <mergeCell ref="B11:J11"/>
    <mergeCell ref="B12:J12"/>
    <mergeCell ref="B14:D14"/>
    <mergeCell ref="B21:J21"/>
    <mergeCell ref="B23:J23"/>
    <mergeCell ref="C25:H25"/>
    <mergeCell ref="I25:J25"/>
    <mergeCell ref="C26:H26"/>
    <mergeCell ref="I26:J26"/>
    <mergeCell ref="C30:H30"/>
    <mergeCell ref="I30:J30"/>
    <mergeCell ref="C31:H31"/>
    <mergeCell ref="I31:J31"/>
    <mergeCell ref="C27:H27"/>
    <mergeCell ref="I27:J27"/>
    <mergeCell ref="C28:H28"/>
    <mergeCell ref="I28:J28"/>
    <mergeCell ref="C29:H29"/>
    <mergeCell ref="I29:J29"/>
  </mergeCells>
  <conditionalFormatting sqref="L1:L31">
    <cfRule type="cellIs" dxfId="14" priority="10" operator="equal">
      <formula>"A faire"</formula>
    </cfRule>
  </conditionalFormatting>
  <conditionalFormatting sqref="L25:L31">
    <cfRule type="cellIs" dxfId="13" priority="6" operator="equal">
      <formula>"Bloquée"</formula>
    </cfRule>
    <cfRule type="cellIs" dxfId="12" priority="7" operator="equal">
      <formula>"Finalisée"</formula>
    </cfRule>
    <cfRule type="cellIs" dxfId="11" priority="8" operator="equal">
      <formula>"En attente"</formula>
    </cfRule>
    <cfRule type="cellIs" dxfId="10" priority="9"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DD82DD84-E4F6-4296-BF0A-EA65F216B916}">
          <x14:formula1>
            <xm:f>Données!$B$3:$B$7</xm:f>
          </x14:formula1>
          <xm:sqref>L25:L31</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340817-FF6E-47F6-85D7-9DE655D0A9DE}">
  <sheetPr>
    <tabColor theme="5" tint="-0.249977111117893"/>
    <pageSetUpPr fitToPage="1"/>
  </sheetPr>
  <dimension ref="B1:L35"/>
  <sheetViews>
    <sheetView showGridLines="0" topLeftCell="A27" zoomScaleNormal="100" workbookViewId="0">
      <selection activeCell="I35" sqref="I35:J35"/>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0" width="10" style="4" customWidth="1"/>
    <col min="31" max="16384" width="12.5703125" style="4"/>
  </cols>
  <sheetData>
    <row r="1" spans="2:11" ht="15" customHeight="1" x14ac:dyDescent="0.25">
      <c r="B1" s="33" t="s">
        <v>63</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62.45" customHeight="1" x14ac:dyDescent="0.25">
      <c r="B12" s="40" t="s">
        <v>149</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150</v>
      </c>
      <c r="C15" s="41"/>
      <c r="D15" s="41"/>
      <c r="E15" s="41"/>
      <c r="F15" s="41"/>
      <c r="G15" s="14"/>
      <c r="H15" s="40" t="s">
        <v>151</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66"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51" customHeight="1" x14ac:dyDescent="0.25">
      <c r="B25" s="16" t="s">
        <v>152</v>
      </c>
      <c r="C25" s="27" t="s">
        <v>153</v>
      </c>
      <c r="D25" s="32"/>
      <c r="E25" s="32"/>
      <c r="F25" s="32"/>
      <c r="G25" s="32"/>
      <c r="H25" s="31"/>
      <c r="I25" s="30" t="s">
        <v>154</v>
      </c>
      <c r="J25" s="31"/>
      <c r="L25" s="23" t="s">
        <v>246</v>
      </c>
    </row>
    <row r="26" spans="2:12" ht="51" customHeight="1" x14ac:dyDescent="0.25">
      <c r="B26" s="16" t="s">
        <v>155</v>
      </c>
      <c r="C26" s="27" t="s">
        <v>156</v>
      </c>
      <c r="D26" s="32"/>
      <c r="E26" s="32"/>
      <c r="F26" s="32"/>
      <c r="G26" s="32"/>
      <c r="H26" s="31"/>
      <c r="I26" s="30" t="s">
        <v>157</v>
      </c>
      <c r="J26" s="31"/>
      <c r="L26" s="23" t="s">
        <v>246</v>
      </c>
    </row>
    <row r="27" spans="2:12" ht="51" customHeight="1" x14ac:dyDescent="0.25">
      <c r="B27" s="16" t="s">
        <v>158</v>
      </c>
      <c r="C27" s="27" t="s">
        <v>159</v>
      </c>
      <c r="D27" s="28"/>
      <c r="E27" s="28"/>
      <c r="F27" s="28"/>
      <c r="G27" s="28"/>
      <c r="H27" s="29"/>
      <c r="I27" s="30" t="s">
        <v>160</v>
      </c>
      <c r="J27" s="31"/>
      <c r="L27" s="23" t="s">
        <v>246</v>
      </c>
    </row>
    <row r="28" spans="2:12" ht="51" customHeight="1" x14ac:dyDescent="0.25">
      <c r="B28" s="16" t="s">
        <v>161</v>
      </c>
      <c r="C28" s="27" t="s">
        <v>162</v>
      </c>
      <c r="D28" s="32"/>
      <c r="E28" s="32"/>
      <c r="F28" s="32"/>
      <c r="G28" s="32"/>
      <c r="H28" s="31"/>
      <c r="I28" s="27"/>
      <c r="J28" s="31"/>
      <c r="L28" s="23" t="s">
        <v>246</v>
      </c>
    </row>
    <row r="29" spans="2:12" ht="76.349999999999994" customHeight="1" x14ac:dyDescent="0.25">
      <c r="B29" s="16" t="s">
        <v>163</v>
      </c>
      <c r="C29" s="27" t="s">
        <v>164</v>
      </c>
      <c r="D29" s="32"/>
      <c r="E29" s="32"/>
      <c r="F29" s="32"/>
      <c r="G29" s="32"/>
      <c r="H29" s="31"/>
      <c r="I29" s="30"/>
      <c r="J29" s="31"/>
      <c r="L29" s="23" t="s">
        <v>246</v>
      </c>
    </row>
    <row r="30" spans="2:12" ht="51" customHeight="1" x14ac:dyDescent="0.25">
      <c r="B30" s="16" t="s">
        <v>166</v>
      </c>
      <c r="C30" s="27" t="s">
        <v>167</v>
      </c>
      <c r="D30" s="32"/>
      <c r="E30" s="32"/>
      <c r="F30" s="32"/>
      <c r="G30" s="32"/>
      <c r="H30" s="31"/>
      <c r="I30" s="30"/>
      <c r="J30" s="31"/>
      <c r="L30" s="23" t="s">
        <v>246</v>
      </c>
    </row>
    <row r="31" spans="2:12" ht="51" customHeight="1" x14ac:dyDescent="0.25">
      <c r="B31" s="16" t="s">
        <v>168</v>
      </c>
      <c r="C31" s="27" t="s">
        <v>169</v>
      </c>
      <c r="D31" s="32"/>
      <c r="E31" s="32"/>
      <c r="F31" s="32"/>
      <c r="G31" s="32"/>
      <c r="H31" s="31"/>
      <c r="I31" s="30" t="s">
        <v>170</v>
      </c>
      <c r="J31" s="31"/>
      <c r="L31" s="23" t="s">
        <v>246</v>
      </c>
    </row>
    <row r="32" spans="2:12" ht="51" customHeight="1" x14ac:dyDescent="0.25">
      <c r="B32" s="16" t="s">
        <v>171</v>
      </c>
      <c r="C32" s="27" t="s">
        <v>278</v>
      </c>
      <c r="D32" s="32"/>
      <c r="E32" s="32"/>
      <c r="F32" s="32"/>
      <c r="G32" s="32"/>
      <c r="H32" s="31"/>
      <c r="I32" s="30" t="s">
        <v>172</v>
      </c>
      <c r="J32" s="31"/>
      <c r="L32" s="23" t="s">
        <v>246</v>
      </c>
    </row>
    <row r="33" spans="2:12" ht="51" customHeight="1" x14ac:dyDescent="0.25">
      <c r="B33" s="16" t="s">
        <v>173</v>
      </c>
      <c r="C33" s="27" t="s">
        <v>174</v>
      </c>
      <c r="D33" s="32"/>
      <c r="E33" s="32"/>
      <c r="F33" s="32"/>
      <c r="G33" s="32"/>
      <c r="H33" s="31"/>
      <c r="I33" s="30"/>
      <c r="J33" s="31"/>
      <c r="L33" s="23" t="s">
        <v>246</v>
      </c>
    </row>
    <row r="34" spans="2:12" ht="51" customHeight="1" x14ac:dyDescent="0.25">
      <c r="B34" s="16" t="s">
        <v>175</v>
      </c>
      <c r="C34" s="27" t="s">
        <v>176</v>
      </c>
      <c r="D34" s="32"/>
      <c r="E34" s="32"/>
      <c r="F34" s="32"/>
      <c r="G34" s="32"/>
      <c r="H34" s="31"/>
      <c r="I34" s="30"/>
      <c r="J34" s="31"/>
      <c r="L34" s="23" t="s">
        <v>246</v>
      </c>
    </row>
    <row r="35" spans="2:12" ht="51" customHeight="1" x14ac:dyDescent="0.25">
      <c r="B35" s="16" t="s">
        <v>177</v>
      </c>
      <c r="C35" s="27" t="s">
        <v>178</v>
      </c>
      <c r="D35" s="32"/>
      <c r="E35" s="32"/>
      <c r="F35" s="32"/>
      <c r="G35" s="32"/>
      <c r="H35" s="31"/>
      <c r="I35" s="30"/>
      <c r="J35" s="31"/>
      <c r="L35" s="23" t="s">
        <v>246</v>
      </c>
    </row>
  </sheetData>
  <mergeCells count="31">
    <mergeCell ref="B15:F19"/>
    <mergeCell ref="H15:J19"/>
    <mergeCell ref="B1:J3"/>
    <mergeCell ref="B5:J5"/>
    <mergeCell ref="B11:J11"/>
    <mergeCell ref="B12:J12"/>
    <mergeCell ref="B14:D14"/>
    <mergeCell ref="B21:J21"/>
    <mergeCell ref="B23:J23"/>
    <mergeCell ref="C25:H25"/>
    <mergeCell ref="I25:J25"/>
    <mergeCell ref="C26:H26"/>
    <mergeCell ref="I26:J26"/>
    <mergeCell ref="C27:H27"/>
    <mergeCell ref="I27:J27"/>
    <mergeCell ref="C28:H28"/>
    <mergeCell ref="I28:J28"/>
    <mergeCell ref="C29:H29"/>
    <mergeCell ref="I29:J29"/>
    <mergeCell ref="C30:H30"/>
    <mergeCell ref="I30:J30"/>
    <mergeCell ref="C31:H31"/>
    <mergeCell ref="I31:J31"/>
    <mergeCell ref="C32:H32"/>
    <mergeCell ref="I32:J32"/>
    <mergeCell ref="C35:H35"/>
    <mergeCell ref="I35:J35"/>
    <mergeCell ref="C33:H33"/>
    <mergeCell ref="I33:J33"/>
    <mergeCell ref="C34:H34"/>
    <mergeCell ref="I34:J34"/>
  </mergeCells>
  <conditionalFormatting sqref="L1:L35">
    <cfRule type="cellIs" dxfId="9" priority="5" operator="equal">
      <formula>"A faire"</formula>
    </cfRule>
  </conditionalFormatting>
  <conditionalFormatting sqref="L25:L35">
    <cfRule type="cellIs" dxfId="8" priority="1" operator="equal">
      <formula>"Bloquée"</formula>
    </cfRule>
    <cfRule type="cellIs" dxfId="7" priority="2" operator="equal">
      <formula>"Finalisée"</formula>
    </cfRule>
    <cfRule type="cellIs" dxfId="6" priority="3" operator="equal">
      <formula>"En attente"</formula>
    </cfRule>
    <cfRule type="cellIs" dxfId="5" priority="4"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64A274C2-F7FA-4F9C-9C23-C0751350F01D}">
          <x14:formula1>
            <xm:f>Données!$B$3:$B$7</xm:f>
          </x14:formula1>
          <xm:sqref>L25:L35</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5DC69-E96D-4F80-AE1D-E833F70C1F84}">
  <sheetPr>
    <tabColor rgb="FF7030A0"/>
    <pageSetUpPr fitToPage="1"/>
  </sheetPr>
  <dimension ref="B1:L33"/>
  <sheetViews>
    <sheetView showGridLines="0" tabSelected="1" topLeftCell="A23" zoomScaleNormal="100" workbookViewId="0">
      <selection activeCell="C29" sqref="C29:H29"/>
    </sheetView>
  </sheetViews>
  <sheetFormatPr baseColWidth="10" defaultColWidth="12.5703125" defaultRowHeight="15.75" customHeight="1" x14ac:dyDescent="0.25"/>
  <cols>
    <col min="1" max="1" width="1.85546875" style="4" customWidth="1"/>
    <col min="2" max="2" width="26.7109375" style="4" customWidth="1"/>
    <col min="3" max="3" width="4.85546875" style="4" customWidth="1"/>
    <col min="4" max="4" width="28" style="4" customWidth="1"/>
    <col min="5" max="5" width="4.85546875" style="4" customWidth="1"/>
    <col min="6" max="6" width="27.85546875" style="4" customWidth="1"/>
    <col min="7" max="7" width="4.85546875" style="4" customWidth="1"/>
    <col min="8" max="8" width="27.85546875" style="4" customWidth="1"/>
    <col min="9" max="9" width="4.85546875" style="4" customWidth="1"/>
    <col min="10" max="10" width="45.42578125" style="4" customWidth="1"/>
    <col min="11" max="11" width="1" style="4" customWidth="1"/>
    <col min="12" max="12" width="15.5703125" style="4" customWidth="1"/>
    <col min="13" max="30" width="10" style="4" customWidth="1"/>
    <col min="31" max="16384" width="12.5703125" style="4"/>
  </cols>
  <sheetData>
    <row r="1" spans="2:11" ht="15" customHeight="1" x14ac:dyDescent="0.25">
      <c r="B1" s="33" t="s">
        <v>64</v>
      </c>
      <c r="C1" s="34"/>
      <c r="D1" s="34"/>
      <c r="E1" s="34"/>
      <c r="F1" s="34"/>
      <c r="G1" s="34"/>
      <c r="H1" s="34"/>
      <c r="I1" s="34"/>
      <c r="J1" s="34"/>
      <c r="K1" s="17"/>
    </row>
    <row r="2" spans="2:11" ht="15" customHeight="1" x14ac:dyDescent="0.25">
      <c r="B2" s="34"/>
      <c r="C2" s="35"/>
      <c r="D2" s="35"/>
      <c r="E2" s="35"/>
      <c r="F2" s="35"/>
      <c r="G2" s="35"/>
      <c r="H2" s="35"/>
      <c r="I2" s="35"/>
      <c r="J2" s="34"/>
      <c r="K2" s="17"/>
    </row>
    <row r="3" spans="2:11" ht="15" customHeight="1" thickBot="1" x14ac:dyDescent="0.3">
      <c r="B3" s="36"/>
      <c r="C3" s="36"/>
      <c r="D3" s="36"/>
      <c r="E3" s="36"/>
      <c r="F3" s="36"/>
      <c r="G3" s="36"/>
      <c r="H3" s="36"/>
      <c r="I3" s="36"/>
      <c r="J3" s="36"/>
      <c r="K3" s="17"/>
    </row>
    <row r="4" spans="2:11" ht="15" customHeight="1" thickTop="1" x14ac:dyDescent="0.25">
      <c r="B4" s="5"/>
      <c r="C4" s="5"/>
      <c r="D4" s="5"/>
      <c r="E4" s="5"/>
      <c r="F4" s="5"/>
      <c r="G4" s="5"/>
      <c r="H4" s="5"/>
      <c r="I4" s="5"/>
      <c r="J4" s="5"/>
      <c r="K4" s="5"/>
    </row>
    <row r="5" spans="2:11" ht="15" customHeight="1" x14ac:dyDescent="0.25">
      <c r="B5" s="37" t="s">
        <v>24</v>
      </c>
      <c r="C5" s="34"/>
      <c r="D5" s="34"/>
      <c r="E5" s="34"/>
      <c r="F5" s="34"/>
      <c r="G5" s="34"/>
      <c r="H5" s="34"/>
      <c r="I5" s="34"/>
      <c r="J5" s="34"/>
      <c r="K5" s="17"/>
    </row>
    <row r="6" spans="2:11" ht="5.25" customHeight="1" x14ac:dyDescent="0.25">
      <c r="B6" s="7"/>
      <c r="C6" s="7"/>
      <c r="D6" s="7"/>
      <c r="E6" s="7"/>
      <c r="F6" s="7"/>
      <c r="G6" s="7"/>
      <c r="H6" s="7"/>
      <c r="I6" s="7"/>
      <c r="J6" s="7"/>
      <c r="K6" s="7"/>
    </row>
    <row r="7" spans="2:11" ht="15" customHeight="1" thickBot="1" x14ac:dyDescent="0.3">
      <c r="B7" s="8" t="s">
        <v>25</v>
      </c>
      <c r="C7" s="7"/>
      <c r="D7" s="8" t="s">
        <v>26</v>
      </c>
      <c r="E7" s="9"/>
      <c r="F7" s="8" t="s">
        <v>27</v>
      </c>
      <c r="G7" s="8"/>
      <c r="H7" s="8" t="s">
        <v>28</v>
      </c>
      <c r="I7" s="6"/>
      <c r="J7" s="8" t="s">
        <v>29</v>
      </c>
      <c r="K7" s="8"/>
    </row>
    <row r="8" spans="2:11" ht="15" customHeight="1" x14ac:dyDescent="0.25">
      <c r="B8" s="10" t="s">
        <v>30</v>
      </c>
      <c r="C8" s="11"/>
      <c r="D8" s="10"/>
      <c r="E8" s="9"/>
      <c r="F8" s="10"/>
      <c r="G8" s="8"/>
      <c r="H8" s="12" t="s">
        <v>35</v>
      </c>
      <c r="I8" s="6"/>
      <c r="J8" s="12" t="s">
        <v>35</v>
      </c>
      <c r="K8" s="20"/>
    </row>
    <row r="9" spans="2:11" ht="15" customHeight="1" x14ac:dyDescent="0.25">
      <c r="B9" s="7"/>
      <c r="C9" s="7"/>
      <c r="D9" s="7"/>
      <c r="E9" s="7"/>
      <c r="F9" s="7"/>
      <c r="G9" s="7"/>
      <c r="H9" s="7"/>
      <c r="I9" s="7"/>
      <c r="J9" s="7"/>
      <c r="K9" s="7"/>
    </row>
    <row r="10" spans="2:11" ht="15" customHeight="1" x14ac:dyDescent="0.25">
      <c r="B10" s="13"/>
      <c r="C10" s="13"/>
      <c r="D10" s="13"/>
      <c r="E10" s="13"/>
      <c r="F10" s="13"/>
      <c r="G10" s="14"/>
      <c r="H10" s="13"/>
      <c r="I10" s="13"/>
      <c r="J10" s="13"/>
      <c r="K10" s="13"/>
    </row>
    <row r="11" spans="2:11" ht="15" customHeight="1" thickBot="1" x14ac:dyDescent="0.3">
      <c r="B11" s="38" t="s">
        <v>31</v>
      </c>
      <c r="C11" s="39"/>
      <c r="D11" s="39"/>
      <c r="E11" s="39"/>
      <c r="F11" s="39"/>
      <c r="G11" s="39"/>
      <c r="H11" s="39"/>
      <c r="I11" s="39"/>
      <c r="J11" s="39"/>
      <c r="K11" s="17"/>
    </row>
    <row r="12" spans="2:11" ht="117" customHeight="1" x14ac:dyDescent="0.25">
      <c r="B12" s="40" t="s">
        <v>179</v>
      </c>
      <c r="C12" s="41"/>
      <c r="D12" s="41"/>
      <c r="E12" s="41"/>
      <c r="F12" s="41"/>
      <c r="G12" s="41"/>
      <c r="H12" s="41"/>
      <c r="I12" s="41"/>
      <c r="J12" s="41"/>
      <c r="K12" s="17"/>
    </row>
    <row r="13" spans="2:11" ht="15" customHeight="1" x14ac:dyDescent="0.25">
      <c r="B13" s="13"/>
      <c r="C13" s="13"/>
      <c r="D13" s="13"/>
      <c r="E13" s="13"/>
      <c r="F13" s="13"/>
      <c r="G13" s="14"/>
      <c r="H13" s="13"/>
      <c r="I13" s="13"/>
      <c r="J13" s="13"/>
      <c r="K13" s="13"/>
    </row>
    <row r="14" spans="2:11" ht="15" customHeight="1" thickBot="1" x14ac:dyDescent="0.3">
      <c r="B14" s="42" t="s">
        <v>32</v>
      </c>
      <c r="C14" s="35"/>
      <c r="D14" s="35"/>
      <c r="E14" s="15"/>
      <c r="F14" s="15"/>
      <c r="G14" s="14"/>
      <c r="H14" s="15" t="s">
        <v>39</v>
      </c>
      <c r="I14" s="15"/>
      <c r="J14" s="15"/>
      <c r="K14" s="18"/>
    </row>
    <row r="15" spans="2:11" ht="13.5" x14ac:dyDescent="0.25">
      <c r="B15" s="43" t="s">
        <v>279</v>
      </c>
      <c r="C15" s="41"/>
      <c r="D15" s="41"/>
      <c r="E15" s="41"/>
      <c r="F15" s="41"/>
      <c r="G15" s="14"/>
      <c r="H15" s="40" t="s">
        <v>180</v>
      </c>
      <c r="I15" s="41"/>
      <c r="J15" s="41"/>
      <c r="K15" s="17"/>
    </row>
    <row r="16" spans="2:11" ht="13.5" x14ac:dyDescent="0.25">
      <c r="B16" s="34"/>
      <c r="C16" s="35"/>
      <c r="D16" s="35"/>
      <c r="E16" s="35"/>
      <c r="F16" s="34"/>
      <c r="G16" s="14"/>
      <c r="H16" s="34"/>
      <c r="I16" s="35"/>
      <c r="J16" s="34"/>
      <c r="K16" s="17"/>
    </row>
    <row r="17" spans="2:12" ht="13.5" x14ac:dyDescent="0.25">
      <c r="B17" s="34"/>
      <c r="C17" s="35"/>
      <c r="D17" s="35"/>
      <c r="E17" s="35"/>
      <c r="F17" s="34"/>
      <c r="G17" s="14"/>
      <c r="H17" s="34"/>
      <c r="I17" s="35"/>
      <c r="J17" s="34"/>
      <c r="K17" s="17"/>
    </row>
    <row r="18" spans="2:12" ht="13.5" x14ac:dyDescent="0.25">
      <c r="B18" s="34"/>
      <c r="C18" s="35"/>
      <c r="D18" s="35"/>
      <c r="E18" s="35"/>
      <c r="F18" s="34"/>
      <c r="G18" s="14"/>
      <c r="H18" s="34"/>
      <c r="I18" s="35"/>
      <c r="J18" s="34"/>
      <c r="K18" s="17"/>
    </row>
    <row r="19" spans="2:12" ht="66" customHeight="1" x14ac:dyDescent="0.25">
      <c r="B19" s="34"/>
      <c r="C19" s="34"/>
      <c r="D19" s="34"/>
      <c r="E19" s="34"/>
      <c r="F19" s="34"/>
      <c r="G19" s="14"/>
      <c r="H19" s="34"/>
      <c r="I19" s="34"/>
      <c r="J19" s="34"/>
      <c r="K19" s="17"/>
    </row>
    <row r="20" spans="2:12" ht="15" customHeight="1" x14ac:dyDescent="0.25">
      <c r="B20" s="13"/>
      <c r="C20" s="13"/>
      <c r="D20" s="13"/>
      <c r="E20" s="13"/>
      <c r="F20" s="13"/>
      <c r="G20" s="13"/>
      <c r="H20" s="13"/>
      <c r="I20" s="13"/>
      <c r="J20" s="13"/>
      <c r="K20" s="13"/>
    </row>
    <row r="21" spans="2:12" ht="15" customHeight="1" x14ac:dyDescent="0.25">
      <c r="B21" s="44" t="s">
        <v>33</v>
      </c>
      <c r="C21" s="34"/>
      <c r="D21" s="34"/>
      <c r="E21" s="34"/>
      <c r="F21" s="34"/>
      <c r="G21" s="34"/>
      <c r="H21" s="34"/>
      <c r="I21" s="34"/>
      <c r="J21" s="34"/>
      <c r="K21" s="17"/>
    </row>
    <row r="22" spans="2:12" ht="5.25" customHeight="1" x14ac:dyDescent="0.25">
      <c r="B22" s="7"/>
      <c r="C22" s="7"/>
      <c r="D22" s="7"/>
      <c r="E22" s="7"/>
      <c r="F22" s="6"/>
      <c r="G22" s="6"/>
      <c r="H22" s="6"/>
      <c r="I22" s="7"/>
      <c r="J22" s="7"/>
      <c r="K22" s="7"/>
    </row>
    <row r="23" spans="2:12" ht="15" customHeight="1" x14ac:dyDescent="0.25">
      <c r="B23" s="45" t="s">
        <v>34</v>
      </c>
      <c r="C23" s="34"/>
      <c r="D23" s="34"/>
      <c r="E23" s="34"/>
      <c r="F23" s="34"/>
      <c r="G23" s="34"/>
      <c r="H23" s="34"/>
      <c r="I23" s="34"/>
      <c r="J23" s="34"/>
      <c r="K23" s="17"/>
      <c r="L23" s="19" t="s">
        <v>245</v>
      </c>
    </row>
    <row r="24" spans="2:12" ht="5.25" customHeight="1" x14ac:dyDescent="0.25">
      <c r="B24" s="7"/>
      <c r="C24" s="7"/>
      <c r="D24" s="7"/>
      <c r="E24" s="7"/>
      <c r="F24" s="7"/>
      <c r="G24" s="7"/>
      <c r="H24" s="7"/>
      <c r="I24" s="7"/>
      <c r="J24" s="7"/>
      <c r="K24" s="7"/>
    </row>
    <row r="25" spans="2:12" ht="51" customHeight="1" x14ac:dyDescent="0.25">
      <c r="B25" s="16" t="s">
        <v>181</v>
      </c>
      <c r="C25" s="27" t="s">
        <v>182</v>
      </c>
      <c r="D25" s="32"/>
      <c r="E25" s="32"/>
      <c r="F25" s="32"/>
      <c r="G25" s="32"/>
      <c r="H25" s="31"/>
      <c r="I25" s="30" t="s">
        <v>183</v>
      </c>
      <c r="J25" s="31"/>
      <c r="L25" s="23" t="s">
        <v>246</v>
      </c>
    </row>
    <row r="26" spans="2:12" ht="51" customHeight="1" x14ac:dyDescent="0.25">
      <c r="B26" s="16" t="s">
        <v>184</v>
      </c>
      <c r="C26" s="27" t="s">
        <v>185</v>
      </c>
      <c r="D26" s="32"/>
      <c r="E26" s="32"/>
      <c r="F26" s="32"/>
      <c r="G26" s="32"/>
      <c r="H26" s="31"/>
      <c r="I26" s="30"/>
      <c r="J26" s="31"/>
      <c r="L26" s="23" t="s">
        <v>246</v>
      </c>
    </row>
    <row r="27" spans="2:12" ht="51" customHeight="1" x14ac:dyDescent="0.25">
      <c r="B27" s="16" t="s">
        <v>186</v>
      </c>
      <c r="C27" s="27" t="s">
        <v>187</v>
      </c>
      <c r="D27" s="28"/>
      <c r="E27" s="28"/>
      <c r="F27" s="28"/>
      <c r="G27" s="28"/>
      <c r="H27" s="29"/>
      <c r="I27" s="30" t="s">
        <v>188</v>
      </c>
      <c r="J27" s="31"/>
      <c r="L27" s="23" t="s">
        <v>249</v>
      </c>
    </row>
    <row r="28" spans="2:12" ht="51" customHeight="1" x14ac:dyDescent="0.25">
      <c r="B28" s="16" t="s">
        <v>189</v>
      </c>
      <c r="C28" s="27" t="s">
        <v>192</v>
      </c>
      <c r="D28" s="28"/>
      <c r="E28" s="28"/>
      <c r="F28" s="28"/>
      <c r="G28" s="28"/>
      <c r="H28" s="29"/>
      <c r="I28" s="27" t="s">
        <v>190</v>
      </c>
      <c r="J28" s="31"/>
      <c r="L28" s="23" t="s">
        <v>249</v>
      </c>
    </row>
    <row r="29" spans="2:12" ht="76.349999999999994" customHeight="1" x14ac:dyDescent="0.25">
      <c r="B29" s="16" t="s">
        <v>191</v>
      </c>
      <c r="C29" s="27" t="s">
        <v>280</v>
      </c>
      <c r="D29" s="32"/>
      <c r="E29" s="32"/>
      <c r="F29" s="32"/>
      <c r="G29" s="32"/>
      <c r="H29" s="31"/>
      <c r="I29" s="30"/>
      <c r="J29" s="31"/>
      <c r="L29" s="23" t="s">
        <v>248</v>
      </c>
    </row>
    <row r="30" spans="2:12" ht="51" customHeight="1" x14ac:dyDescent="0.25">
      <c r="B30" s="16" t="s">
        <v>193</v>
      </c>
      <c r="C30" s="27" t="s">
        <v>194</v>
      </c>
      <c r="D30" s="32"/>
      <c r="E30" s="32"/>
      <c r="F30" s="32"/>
      <c r="G30" s="32"/>
      <c r="H30" s="31"/>
      <c r="I30" s="30" t="s">
        <v>195</v>
      </c>
      <c r="J30" s="31"/>
      <c r="L30" s="23" t="s">
        <v>248</v>
      </c>
    </row>
    <row r="31" spans="2:12" ht="51" customHeight="1" x14ac:dyDescent="0.25">
      <c r="B31" s="16" t="s">
        <v>165</v>
      </c>
      <c r="C31" s="27" t="s">
        <v>196</v>
      </c>
      <c r="D31" s="32"/>
      <c r="E31" s="32"/>
      <c r="F31" s="32"/>
      <c r="G31" s="32"/>
      <c r="H31" s="31"/>
      <c r="I31" s="30"/>
      <c r="J31" s="31"/>
      <c r="L31" s="23" t="s">
        <v>248</v>
      </c>
    </row>
    <row r="32" spans="2:12" ht="51" customHeight="1" x14ac:dyDescent="0.25">
      <c r="B32" s="16" t="s">
        <v>197</v>
      </c>
      <c r="C32" s="27" t="s">
        <v>198</v>
      </c>
      <c r="D32" s="32"/>
      <c r="E32" s="32"/>
      <c r="F32" s="32"/>
      <c r="G32" s="32"/>
      <c r="H32" s="31"/>
      <c r="I32" s="30" t="s">
        <v>199</v>
      </c>
      <c r="J32" s="31"/>
      <c r="L32" s="23" t="s">
        <v>248</v>
      </c>
    </row>
    <row r="33" spans="2:12" ht="51" customHeight="1" x14ac:dyDescent="0.25">
      <c r="B33" s="16" t="s">
        <v>200</v>
      </c>
      <c r="C33" s="27" t="s">
        <v>201</v>
      </c>
      <c r="D33" s="32"/>
      <c r="E33" s="32"/>
      <c r="F33" s="32"/>
      <c r="G33" s="32"/>
      <c r="H33" s="31"/>
      <c r="I33" s="30"/>
      <c r="J33" s="31"/>
      <c r="L33" s="23" t="s">
        <v>248</v>
      </c>
    </row>
  </sheetData>
  <mergeCells count="27">
    <mergeCell ref="C32:H32"/>
    <mergeCell ref="I32:J32"/>
    <mergeCell ref="C33:H33"/>
    <mergeCell ref="I33:J33"/>
    <mergeCell ref="B15:F19"/>
    <mergeCell ref="H15:J19"/>
    <mergeCell ref="B21:J21"/>
    <mergeCell ref="B23:J23"/>
    <mergeCell ref="C25:H25"/>
    <mergeCell ref="I25:J25"/>
    <mergeCell ref="C26:H26"/>
    <mergeCell ref="I26:J26"/>
    <mergeCell ref="C30:H30"/>
    <mergeCell ref="I30:J30"/>
    <mergeCell ref="C31:H31"/>
    <mergeCell ref="I31:J31"/>
    <mergeCell ref="B1:J3"/>
    <mergeCell ref="B5:J5"/>
    <mergeCell ref="B11:J11"/>
    <mergeCell ref="B12:J12"/>
    <mergeCell ref="B14:D14"/>
    <mergeCell ref="C27:H27"/>
    <mergeCell ref="I27:J27"/>
    <mergeCell ref="C28:H28"/>
    <mergeCell ref="I28:J28"/>
    <mergeCell ref="C29:H29"/>
    <mergeCell ref="I29:J29"/>
  </mergeCells>
  <conditionalFormatting sqref="L1:L33">
    <cfRule type="cellIs" dxfId="4" priority="5" operator="equal">
      <formula>"A faire"</formula>
    </cfRule>
  </conditionalFormatting>
  <conditionalFormatting sqref="L25:L33">
    <cfRule type="cellIs" dxfId="3" priority="1" operator="equal">
      <formula>"Bloquée"</formula>
    </cfRule>
    <cfRule type="cellIs" dxfId="2" priority="2" operator="equal">
      <formula>"Finalisée"</formula>
    </cfRule>
    <cfRule type="cellIs" dxfId="1" priority="3" operator="equal">
      <formula>"En attente"</formula>
    </cfRule>
    <cfRule type="cellIs" dxfId="0" priority="4" operator="equal">
      <formula>"En cours"</formula>
    </cfRule>
  </conditionalFormatting>
  <printOptions horizontalCentered="1"/>
  <pageMargins left="0" right="0" top="0" bottom="0.59055118110236227" header="0" footer="0"/>
  <pageSetup paperSize="9" fitToHeight="0" orientation="portrait" r:id="rId1"/>
  <headerFooter>
    <oddFooter>&amp;LITPS&amp;CMandat du projet&amp;RPage &amp;P /</oddFooter>
  </headerFooter>
  <extLst>
    <ext xmlns:x14="http://schemas.microsoft.com/office/spreadsheetml/2009/9/main" uri="{CCE6A557-97BC-4b89-ADB6-D9C93CAAB3DF}">
      <x14:dataValidations xmlns:xm="http://schemas.microsoft.com/office/excel/2006/main" count="1">
        <x14:dataValidation type="list" allowBlank="1" showInputMessage="1" showErrorMessage="1" xr:uid="{4780002E-96EB-43A3-BA9A-FC6FFA78C837}">
          <x14:formula1>
            <xm:f>Données!$B$3:$B$7</xm:f>
          </x14:formula1>
          <xm:sqref>L25:L33</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8513DE-0B38-420E-93F1-CEA76074E02C}">
  <dimension ref="B1:B7"/>
  <sheetViews>
    <sheetView zoomScale="120" zoomScaleNormal="120" workbookViewId="0">
      <selection activeCell="D9" sqref="D9"/>
    </sheetView>
  </sheetViews>
  <sheetFormatPr baseColWidth="10" defaultRowHeight="15" x14ac:dyDescent="0.25"/>
  <cols>
    <col min="1" max="1" width="2.5703125" customWidth="1"/>
  </cols>
  <sheetData>
    <row r="1" spans="2:2" ht="7.5" customHeight="1" x14ac:dyDescent="0.25"/>
    <row r="2" spans="2:2" x14ac:dyDescent="0.25">
      <c r="B2" s="22" t="s">
        <v>247</v>
      </c>
    </row>
    <row r="3" spans="2:2" x14ac:dyDescent="0.25">
      <c r="B3" s="24" t="s">
        <v>248</v>
      </c>
    </row>
    <row r="4" spans="2:2" x14ac:dyDescent="0.25">
      <c r="B4" s="25" t="s">
        <v>249</v>
      </c>
    </row>
    <row r="5" spans="2:2" x14ac:dyDescent="0.25">
      <c r="B5" s="25" t="s">
        <v>250</v>
      </c>
    </row>
    <row r="6" spans="2:2" x14ac:dyDescent="0.25">
      <c r="B6" s="25" t="s">
        <v>246</v>
      </c>
    </row>
    <row r="7" spans="2:2" x14ac:dyDescent="0.25">
      <c r="B7" s="26" t="s">
        <v>251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39E5BE55-B947-4805-AD0F-53B197651EE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12</vt:i4>
      </vt:variant>
    </vt:vector>
  </HeadingPairs>
  <TitlesOfParts>
    <vt:vector size="12" baseType="lpstr">
      <vt:lpstr>Projets - livrables - CDSD def</vt:lpstr>
      <vt:lpstr>Projets - livrables - CDSD</vt:lpstr>
      <vt:lpstr>Bloc 1 - Projet Kayak</vt:lpstr>
      <vt:lpstr>Bloc 2 - Projet Tinder</vt:lpstr>
      <vt:lpstr>Bloc 2 - Projet Steam</vt:lpstr>
      <vt:lpstr>Bloc 3 - Projet Conversion rate</vt:lpstr>
      <vt:lpstr>Bloc 3 - Projet Walmart Sales</vt:lpstr>
      <vt:lpstr>Bloc 3 - Projet Uber Pickups</vt:lpstr>
      <vt:lpstr>Bloc 3 - Projet North Face</vt:lpstr>
      <vt:lpstr>Bloc 4 - Projet AT&amp;T</vt:lpstr>
      <vt:lpstr>Bloc 5 - Projet Getaround</vt:lpstr>
      <vt:lpstr>Données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Jean-Yves Vuillequez</dc:creator>
  <cp:lastModifiedBy>Jean-Yves Vuillequez</cp:lastModifiedBy>
  <dcterms:created xsi:type="dcterms:W3CDTF">2025-07-30T13:27:16Z</dcterms:created>
  <dcterms:modified xsi:type="dcterms:W3CDTF">2026-02-11T12:23:01Z</dcterms:modified>
</cp:coreProperties>
</file>